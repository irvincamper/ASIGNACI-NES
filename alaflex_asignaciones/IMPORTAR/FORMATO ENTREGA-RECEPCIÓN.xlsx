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IGNACIONES\"/>
    </mc:Choice>
  </mc:AlternateContent>
  <xr:revisionPtr revIDLastSave="0" documentId="13_ncr:1_{3E529949-3CB2-46DD-840E-3FD30CD82C6E}" xr6:coauthVersionLast="47" xr6:coauthVersionMax="47" xr10:uidLastSave="{00000000-0000-0000-0000-000000000000}"/>
  <bookViews>
    <workbookView xWindow="-108" yWindow="-108" windowWidth="23256" windowHeight="12456" firstSheet="1" activeTab="1" xr2:uid="{1B81B17A-0D30-49C5-B188-5C26DFB0CE43}"/>
  </bookViews>
  <sheets>
    <sheet name="Etiquetas" sheetId="40" state="hidden" r:id="rId1"/>
    <sheet name="10" sheetId="7" r:id="rId2"/>
    <sheet name="11" sheetId="31" r:id="rId3"/>
    <sheet name="14" sheetId="35" r:id="rId4"/>
    <sheet name="18" sheetId="36" r:id="rId5"/>
    <sheet name="20" sheetId="8" r:id="rId6"/>
    <sheet name="21" sheetId="39" r:id="rId7"/>
    <sheet name="23" sheetId="53" r:id="rId8"/>
    <sheet name="27" sheetId="37" r:id="rId9"/>
    <sheet name="28" sheetId="84" r:id="rId10"/>
    <sheet name="54" sheetId="85" r:id="rId11"/>
    <sheet name="76" sheetId="9" r:id="rId12"/>
    <sheet name="91" sheetId="54" r:id="rId13"/>
    <sheet name="93" sheetId="10" r:id="rId14"/>
    <sheet name="149" sheetId="11" r:id="rId15"/>
    <sheet name="152" sheetId="55" r:id="rId16"/>
    <sheet name="165" sheetId="12" r:id="rId17"/>
    <sheet name="173" sheetId="13" r:id="rId18"/>
    <sheet name="176" sheetId="14" r:id="rId19"/>
    <sheet name="199" sheetId="15" r:id="rId20"/>
    <sheet name="233" sheetId="16" r:id="rId21"/>
    <sheet name="251" sheetId="88" r:id="rId22"/>
    <sheet name="263" sheetId="17" r:id="rId23"/>
    <sheet name="266" sheetId="56" r:id="rId24"/>
    <sheet name="278" sheetId="18" r:id="rId25"/>
    <sheet name="281" sheetId="19" r:id="rId26"/>
    <sheet name="293" sheetId="20" r:id="rId27"/>
    <sheet name="295" sheetId="21" r:id="rId28"/>
    <sheet name="299" sheetId="22" r:id="rId29"/>
    <sheet name="310" sheetId="87" r:id="rId30"/>
    <sheet name="351" sheetId="23" r:id="rId31"/>
    <sheet name="362" sheetId="41" r:id="rId32"/>
    <sheet name="368" sheetId="24" r:id="rId33"/>
    <sheet name="371" sheetId="42" r:id="rId34"/>
    <sheet name="373" sheetId="90" r:id="rId35"/>
    <sheet name="376" sheetId="25" r:id="rId36"/>
    <sheet name="385" sheetId="57" r:id="rId37"/>
    <sheet name="397" sheetId="26" r:id="rId38"/>
    <sheet name="428" sheetId="43" r:id="rId39"/>
    <sheet name="435" sheetId="27" r:id="rId40"/>
    <sheet name="471" sheetId="44" r:id="rId41"/>
    <sheet name="506" sheetId="28" r:id="rId42"/>
    <sheet name="509" sheetId="45" r:id="rId43"/>
    <sheet name="515" sheetId="46" r:id="rId44"/>
    <sheet name="534" sheetId="58" r:id="rId45"/>
    <sheet name="537" sheetId="47" r:id="rId46"/>
    <sheet name="552" sheetId="29" r:id="rId47"/>
    <sheet name="607" sheetId="48" r:id="rId48"/>
    <sheet name="626" sheetId="49" r:id="rId49"/>
    <sheet name="647" sheetId="33" r:id="rId50"/>
    <sheet name="650" sheetId="59" r:id="rId51"/>
    <sheet name="657" sheetId="38" r:id="rId52"/>
    <sheet name="660" sheetId="91" r:id="rId53"/>
    <sheet name="735" sheetId="61" r:id="rId54"/>
    <sheet name="752" sheetId="60" r:id="rId55"/>
    <sheet name="767" sheetId="86" r:id="rId56"/>
    <sheet name="788" sheetId="62" r:id="rId57"/>
    <sheet name="790" sheetId="63" r:id="rId58"/>
    <sheet name="810" sheetId="34" r:id="rId59"/>
    <sheet name="833" sheetId="30" r:id="rId60"/>
    <sheet name="846" sheetId="64" r:id="rId61"/>
    <sheet name="890" sheetId="50" r:id="rId62"/>
    <sheet name="927" sheetId="51" r:id="rId63"/>
    <sheet name="934" sheetId="65" r:id="rId64"/>
    <sheet name="951" sheetId="66" r:id="rId65"/>
    <sheet name="983" sheetId="67" r:id="rId66"/>
    <sheet name="1010" sheetId="68" r:id="rId67"/>
    <sheet name="1033" sheetId="52" r:id="rId68"/>
    <sheet name="1036" sheetId="69" r:id="rId69"/>
    <sheet name="1047" sheetId="70" r:id="rId70"/>
    <sheet name="1061" sheetId="71" r:id="rId71"/>
    <sheet name="1064" sheetId="73" r:id="rId72"/>
    <sheet name="1081" sheetId="92" r:id="rId73"/>
    <sheet name="1094" sheetId="74" r:id="rId74"/>
    <sheet name="1095" sheetId="72" r:id="rId75"/>
    <sheet name="1104" sheetId="75" r:id="rId76"/>
    <sheet name="1138" sheetId="76" r:id="rId77"/>
    <sheet name="1143" sheetId="77" r:id="rId78"/>
    <sheet name="1144" sheetId="78" r:id="rId79"/>
    <sheet name="1153" sheetId="89" r:id="rId80"/>
    <sheet name="1155" sheetId="79" r:id="rId81"/>
    <sheet name="1165" sheetId="32" r:id="rId82"/>
    <sheet name="1166" sheetId="80" r:id="rId83"/>
    <sheet name="1167" sheetId="81" r:id="rId84"/>
    <sheet name="1168" sheetId="82" r:id="rId85"/>
    <sheet name="1171" sheetId="83" r:id="rId86"/>
    <sheet name="1175" sheetId="93" r:id="rId87"/>
    <sheet name="1176" sheetId="94" r:id="rId88"/>
  </sheets>
  <externalReferences>
    <externalReference r:id="rId89"/>
    <externalReference r:id="rId90"/>
  </externalReferences>
  <definedNames>
    <definedName name="_xlnm.Print_Area" localSheetId="1">'10'!$A$1:$N$52</definedName>
    <definedName name="_xlnm.Print_Area" localSheetId="66">'1010'!$A$1:$N$52</definedName>
    <definedName name="_xlnm.Print_Area" localSheetId="67">'1033'!$A$1:$N$52</definedName>
    <definedName name="_xlnm.Print_Area" localSheetId="68">'1036'!$A$1:$N$52</definedName>
    <definedName name="_xlnm.Print_Area" localSheetId="69">'1047'!$A$1:$N$52</definedName>
    <definedName name="_xlnm.Print_Area" localSheetId="70">'1061'!$A$1:$N$52</definedName>
    <definedName name="_xlnm.Print_Area" localSheetId="71">'1064'!$A$1:$N$52</definedName>
    <definedName name="_xlnm.Print_Area" localSheetId="72">'1081'!$A$1:$N$52</definedName>
    <definedName name="_xlnm.Print_Area" localSheetId="73">'1094'!$A$1:$N$52</definedName>
    <definedName name="_xlnm.Print_Area" localSheetId="74">'1095'!$A$1:$N$52</definedName>
    <definedName name="_xlnm.Print_Area" localSheetId="2">'11'!$A$1:$N$52</definedName>
    <definedName name="_xlnm.Print_Area" localSheetId="75">'1104'!$A$1:$N$52</definedName>
    <definedName name="_xlnm.Print_Area" localSheetId="76">'1138'!$A$1:$N$52</definedName>
    <definedName name="_xlnm.Print_Area" localSheetId="77">'1143'!$A$1:$N$52</definedName>
    <definedName name="_xlnm.Print_Area" localSheetId="78">'1144'!$A$1:$N$52</definedName>
    <definedName name="_xlnm.Print_Area" localSheetId="79">'1153'!$A$1:$N$52</definedName>
    <definedName name="_xlnm.Print_Area" localSheetId="80">'1155'!$A$1:$N$52</definedName>
    <definedName name="_xlnm.Print_Area" localSheetId="81">'1165'!$A$1:$N$52</definedName>
    <definedName name="_xlnm.Print_Area" localSheetId="82">'1166'!$A$1:$N$52</definedName>
    <definedName name="_xlnm.Print_Area" localSheetId="83">'1167'!$A$1:$N$52</definedName>
    <definedName name="_xlnm.Print_Area" localSheetId="84">'1168'!$A$1:$N$52</definedName>
    <definedName name="_xlnm.Print_Area" localSheetId="85">'1171'!$A$1:$N$52</definedName>
    <definedName name="_xlnm.Print_Area" localSheetId="86">'1175'!$A$1:$N$52</definedName>
    <definedName name="_xlnm.Print_Area" localSheetId="87">'1176'!$A$1:$N$52</definedName>
    <definedName name="_xlnm.Print_Area" localSheetId="3">'14'!$A$1:$N$52</definedName>
    <definedName name="_xlnm.Print_Area" localSheetId="14">'149'!$A$1:$N$52</definedName>
    <definedName name="_xlnm.Print_Area" localSheetId="15">'152'!$A$1:$N$52</definedName>
    <definedName name="_xlnm.Print_Area" localSheetId="16">'165'!$A$1:$N$52</definedName>
    <definedName name="_xlnm.Print_Area" localSheetId="17">'173'!$A$1:$N$52</definedName>
    <definedName name="_xlnm.Print_Area" localSheetId="18">'176'!$A$1:$N$52</definedName>
    <definedName name="_xlnm.Print_Area" localSheetId="4">'18'!$A$1:$N$52</definedName>
    <definedName name="_xlnm.Print_Area" localSheetId="19">'199'!$A$1:$N$52</definedName>
    <definedName name="_xlnm.Print_Area" localSheetId="5">'20'!$A$1:$N$52</definedName>
    <definedName name="_xlnm.Print_Area" localSheetId="6">'21'!$A$1:$N$52</definedName>
    <definedName name="_xlnm.Print_Area" localSheetId="7">'23'!$A$1:$N$52</definedName>
    <definedName name="_xlnm.Print_Area" localSheetId="20">'233'!$A$1:$N$52</definedName>
    <definedName name="_xlnm.Print_Area" localSheetId="21">'251'!$A$1:$N$52</definedName>
    <definedName name="_xlnm.Print_Area" localSheetId="22">'263'!$A$1:$N$52</definedName>
    <definedName name="_xlnm.Print_Area" localSheetId="23">'266'!$A$1:$N$52</definedName>
    <definedName name="_xlnm.Print_Area" localSheetId="8">'27'!$A$1:$N$52</definedName>
    <definedName name="_xlnm.Print_Area" localSheetId="24">'278'!$A$1:$N$52</definedName>
    <definedName name="_xlnm.Print_Area" localSheetId="9">'28'!$A$1:$N$52</definedName>
    <definedName name="_xlnm.Print_Area" localSheetId="25">'281'!$A$1:$N$52</definedName>
    <definedName name="_xlnm.Print_Area" localSheetId="26">'293'!$A$1:$N$52</definedName>
    <definedName name="_xlnm.Print_Area" localSheetId="27">'295'!$A$1:$N$52</definedName>
    <definedName name="_xlnm.Print_Area" localSheetId="28">'299'!$A$1:$N$52</definedName>
    <definedName name="_xlnm.Print_Area" localSheetId="29">'310'!$A$1:$N$52</definedName>
    <definedName name="_xlnm.Print_Area" localSheetId="30">'351'!$A$1:$N$52</definedName>
    <definedName name="_xlnm.Print_Area" localSheetId="31">'362'!$A$1:$N$52</definedName>
    <definedName name="_xlnm.Print_Area" localSheetId="32">'368'!$A$1:$N$52</definedName>
    <definedName name="_xlnm.Print_Area" localSheetId="33">'371'!$A$1:$N$52</definedName>
    <definedName name="_xlnm.Print_Area" localSheetId="34">'373'!$A$1:$N$52</definedName>
    <definedName name="_xlnm.Print_Area" localSheetId="35">'376'!$A$1:$N$52</definedName>
    <definedName name="_xlnm.Print_Area" localSheetId="36">'385'!$A$1:$N$52</definedName>
    <definedName name="_xlnm.Print_Area" localSheetId="37">'397'!$A$1:$N$52</definedName>
    <definedName name="_xlnm.Print_Area" localSheetId="38">'428'!$A$1:$N$52</definedName>
    <definedName name="_xlnm.Print_Area" localSheetId="39">'435'!$A$1:$N$52</definedName>
    <definedName name="_xlnm.Print_Area" localSheetId="40">'471'!$A$1:$N$52</definedName>
    <definedName name="_xlnm.Print_Area" localSheetId="41">'506'!$A$1:$N$52</definedName>
    <definedName name="_xlnm.Print_Area" localSheetId="42">'509'!$A$1:$N$52</definedName>
    <definedName name="_xlnm.Print_Area" localSheetId="43">'515'!$A$1:$N$52</definedName>
    <definedName name="_xlnm.Print_Area" localSheetId="44">'534'!$A$1:$N$52</definedName>
    <definedName name="_xlnm.Print_Area" localSheetId="45">'537'!$A$1:$N$52</definedName>
    <definedName name="_xlnm.Print_Area" localSheetId="10">'54'!$A$1:$N$52</definedName>
    <definedName name="_xlnm.Print_Area" localSheetId="46">'552'!$A$1:$N$52</definedName>
    <definedName name="_xlnm.Print_Area" localSheetId="47">'607'!$A$1:$N$52</definedName>
    <definedName name="_xlnm.Print_Area" localSheetId="48">'626'!$A$1:$N$52</definedName>
    <definedName name="_xlnm.Print_Area" localSheetId="49">'647'!$A$1:$N$52</definedName>
    <definedName name="_xlnm.Print_Area" localSheetId="50">'650'!$A$1:$N$52</definedName>
    <definedName name="_xlnm.Print_Area" localSheetId="51">'657'!$A$1:$N$52</definedName>
    <definedName name="_xlnm.Print_Area" localSheetId="52">'660'!$A$1:$N$52</definedName>
    <definedName name="_xlnm.Print_Area" localSheetId="53">'735'!$A$1:$N$52</definedName>
    <definedName name="_xlnm.Print_Area" localSheetId="54">'752'!$A$1:$N$52</definedName>
    <definedName name="_xlnm.Print_Area" localSheetId="11">'76'!$A$1:$N$52</definedName>
    <definedName name="_xlnm.Print_Area" localSheetId="55">'767'!$A$1:$N$52</definedName>
    <definedName name="_xlnm.Print_Area" localSheetId="56">'788'!$A$1:$N$52</definedName>
    <definedName name="_xlnm.Print_Area" localSheetId="57">'790'!$A$1:$N$52</definedName>
    <definedName name="_xlnm.Print_Area" localSheetId="58">'810'!$A$1:$N$52</definedName>
    <definedName name="_xlnm.Print_Area" localSheetId="59">'833'!$A$1:$N$52</definedName>
    <definedName name="_xlnm.Print_Area" localSheetId="60">'846'!$A$1:$N$52</definedName>
    <definedName name="_xlnm.Print_Area" localSheetId="61">'890'!$A$1:$N$52</definedName>
    <definedName name="_xlnm.Print_Area" localSheetId="12">'91'!$A$1:$N$52</definedName>
    <definedName name="_xlnm.Print_Area" localSheetId="62">'927'!$A$1:$N$52</definedName>
    <definedName name="_xlnm.Print_Area" localSheetId="13">'93'!$A$1:$N$52</definedName>
    <definedName name="_xlnm.Print_Area" localSheetId="63">'934'!$A$1:$N$52</definedName>
    <definedName name="_xlnm.Print_Area" localSheetId="64">'951'!$A$1:$N$52</definedName>
    <definedName name="_xlnm.Print_Area" localSheetId="65">'983'!$A$1:$N$52</definedName>
    <definedName name="_xlnm.Print_Titles" localSheetId="1">'10'!$1:$16</definedName>
    <definedName name="_xlnm.Print_Titles" localSheetId="66">'1010'!$1:$16</definedName>
    <definedName name="_xlnm.Print_Titles" localSheetId="67">'1033'!$1:$16</definedName>
    <definedName name="_xlnm.Print_Titles" localSheetId="68">'1036'!$1:$16</definedName>
    <definedName name="_xlnm.Print_Titles" localSheetId="69">'1047'!$1:$16</definedName>
    <definedName name="_xlnm.Print_Titles" localSheetId="70">'1061'!$1:$16</definedName>
    <definedName name="_xlnm.Print_Titles" localSheetId="71">'1064'!$1:$16</definedName>
    <definedName name="_xlnm.Print_Titles" localSheetId="72">'1081'!$1:$16</definedName>
    <definedName name="_xlnm.Print_Titles" localSheetId="73">'1094'!$1:$16</definedName>
    <definedName name="_xlnm.Print_Titles" localSheetId="74">'1095'!$1:$16</definedName>
    <definedName name="_xlnm.Print_Titles" localSheetId="2">'11'!$1:$16</definedName>
    <definedName name="_xlnm.Print_Titles" localSheetId="75">'1104'!$1:$16</definedName>
    <definedName name="_xlnm.Print_Titles" localSheetId="76">'1138'!$1:$16</definedName>
    <definedName name="_xlnm.Print_Titles" localSheetId="77">'1143'!$1:$16</definedName>
    <definedName name="_xlnm.Print_Titles" localSheetId="78">'1144'!$1:$16</definedName>
    <definedName name="_xlnm.Print_Titles" localSheetId="79">'1153'!$1:$16</definedName>
    <definedName name="_xlnm.Print_Titles" localSheetId="80">'1155'!$1:$16</definedName>
    <definedName name="_xlnm.Print_Titles" localSheetId="81">'1165'!$1:$16</definedName>
    <definedName name="_xlnm.Print_Titles" localSheetId="82">'1166'!$1:$16</definedName>
    <definedName name="_xlnm.Print_Titles" localSheetId="83">'1167'!$1:$16</definedName>
    <definedName name="_xlnm.Print_Titles" localSheetId="84">'1168'!$1:$16</definedName>
    <definedName name="_xlnm.Print_Titles" localSheetId="85">'1171'!$1:$16</definedName>
    <definedName name="_xlnm.Print_Titles" localSheetId="86">'1175'!$1:$16</definedName>
    <definedName name="_xlnm.Print_Titles" localSheetId="87">'1176'!$1:$16</definedName>
    <definedName name="_xlnm.Print_Titles" localSheetId="3">'14'!$1:$16</definedName>
    <definedName name="_xlnm.Print_Titles" localSheetId="14">'149'!$1:$16</definedName>
    <definedName name="_xlnm.Print_Titles" localSheetId="15">'152'!$1:$16</definedName>
    <definedName name="_xlnm.Print_Titles" localSheetId="16">'165'!$1:$16</definedName>
    <definedName name="_xlnm.Print_Titles" localSheetId="17">'173'!$1:$16</definedName>
    <definedName name="_xlnm.Print_Titles" localSheetId="18">'176'!$1:$16</definedName>
    <definedName name="_xlnm.Print_Titles" localSheetId="4">'18'!$1:$16</definedName>
    <definedName name="_xlnm.Print_Titles" localSheetId="19">'199'!$1:$16</definedName>
    <definedName name="_xlnm.Print_Titles" localSheetId="5">'20'!$1:$16</definedName>
    <definedName name="_xlnm.Print_Titles" localSheetId="6">'21'!$1:$16</definedName>
    <definedName name="_xlnm.Print_Titles" localSheetId="7">'23'!$1:$16</definedName>
    <definedName name="_xlnm.Print_Titles" localSheetId="20">'233'!$1:$16</definedName>
    <definedName name="_xlnm.Print_Titles" localSheetId="21">'251'!$1:$16</definedName>
    <definedName name="_xlnm.Print_Titles" localSheetId="22">'263'!$1:$16</definedName>
    <definedName name="_xlnm.Print_Titles" localSheetId="23">'266'!$1:$16</definedName>
    <definedName name="_xlnm.Print_Titles" localSheetId="8">'27'!$1:$16</definedName>
    <definedName name="_xlnm.Print_Titles" localSheetId="24">'278'!$1:$16</definedName>
    <definedName name="_xlnm.Print_Titles" localSheetId="9">'28'!$1:$16</definedName>
    <definedName name="_xlnm.Print_Titles" localSheetId="25">'281'!$1:$16</definedName>
    <definedName name="_xlnm.Print_Titles" localSheetId="26">'293'!$1:$16</definedName>
    <definedName name="_xlnm.Print_Titles" localSheetId="27">'295'!$1:$16</definedName>
    <definedName name="_xlnm.Print_Titles" localSheetId="28">'299'!$1:$16</definedName>
    <definedName name="_xlnm.Print_Titles" localSheetId="29">'310'!$1:$16</definedName>
    <definedName name="_xlnm.Print_Titles" localSheetId="30">'351'!$1:$16</definedName>
    <definedName name="_xlnm.Print_Titles" localSheetId="31">'362'!$1:$16</definedName>
    <definedName name="_xlnm.Print_Titles" localSheetId="32">'368'!$1:$16</definedName>
    <definedName name="_xlnm.Print_Titles" localSheetId="33">'371'!$1:$16</definedName>
    <definedName name="_xlnm.Print_Titles" localSheetId="34">'373'!$1:$16</definedName>
    <definedName name="_xlnm.Print_Titles" localSheetId="35">'376'!$1:$16</definedName>
    <definedName name="_xlnm.Print_Titles" localSheetId="36">'385'!$1:$16</definedName>
    <definedName name="_xlnm.Print_Titles" localSheetId="37">'397'!$1:$16</definedName>
    <definedName name="_xlnm.Print_Titles" localSheetId="38">'428'!$1:$16</definedName>
    <definedName name="_xlnm.Print_Titles" localSheetId="39">'435'!$1:$16</definedName>
    <definedName name="_xlnm.Print_Titles" localSheetId="40">'471'!$1:$16</definedName>
    <definedName name="_xlnm.Print_Titles" localSheetId="41">'506'!$1:$16</definedName>
    <definedName name="_xlnm.Print_Titles" localSheetId="42">'509'!$1:$16</definedName>
    <definedName name="_xlnm.Print_Titles" localSheetId="43">'515'!$1:$16</definedName>
    <definedName name="_xlnm.Print_Titles" localSheetId="44">'534'!$1:$16</definedName>
    <definedName name="_xlnm.Print_Titles" localSheetId="45">'537'!$1:$16</definedName>
    <definedName name="_xlnm.Print_Titles" localSheetId="10">'54'!$1:$16</definedName>
    <definedName name="_xlnm.Print_Titles" localSheetId="46">'552'!$1:$16</definedName>
    <definedName name="_xlnm.Print_Titles" localSheetId="47">'607'!$1:$16</definedName>
    <definedName name="_xlnm.Print_Titles" localSheetId="48">'626'!$1:$16</definedName>
    <definedName name="_xlnm.Print_Titles" localSheetId="49">'647'!$1:$16</definedName>
    <definedName name="_xlnm.Print_Titles" localSheetId="50">'650'!$1:$16</definedName>
    <definedName name="_xlnm.Print_Titles" localSheetId="51">'657'!$1:$16</definedName>
    <definedName name="_xlnm.Print_Titles" localSheetId="52">'660'!$1:$16</definedName>
    <definedName name="_xlnm.Print_Titles" localSheetId="53">'735'!$1:$16</definedName>
    <definedName name="_xlnm.Print_Titles" localSheetId="54">'752'!$1:$16</definedName>
    <definedName name="_xlnm.Print_Titles" localSheetId="11">'76'!$1:$16</definedName>
    <definedName name="_xlnm.Print_Titles" localSheetId="55">'767'!$1:$16</definedName>
    <definedName name="_xlnm.Print_Titles" localSheetId="56">'788'!$1:$16</definedName>
    <definedName name="_xlnm.Print_Titles" localSheetId="57">'790'!$1:$16</definedName>
    <definedName name="_xlnm.Print_Titles" localSheetId="58">'810'!$1:$16</definedName>
    <definedName name="_xlnm.Print_Titles" localSheetId="59">'833'!$1:$16</definedName>
    <definedName name="_xlnm.Print_Titles" localSheetId="60">'846'!$1:$16</definedName>
    <definedName name="_xlnm.Print_Titles" localSheetId="61">'890'!$1:$16</definedName>
    <definedName name="_xlnm.Print_Titles" localSheetId="12">'91'!$1:$16</definedName>
    <definedName name="_xlnm.Print_Titles" localSheetId="62">'927'!$1:$16</definedName>
    <definedName name="_xlnm.Print_Titles" localSheetId="13">'93'!$1:$16</definedName>
    <definedName name="_xlnm.Print_Titles" localSheetId="63">'934'!$1:$16</definedName>
    <definedName name="_xlnm.Print_Titles" localSheetId="64">'951'!$1:$16</definedName>
    <definedName name="_xlnm.Print_Titles" localSheetId="65">'983'!$1:$16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1" l="1"/>
  <c r="G8" i="14"/>
  <c r="G8" i="15"/>
  <c r="G8" i="22"/>
  <c r="K23" i="94"/>
  <c r="K24" i="83"/>
  <c r="E3" i="94"/>
  <c r="E3" i="93"/>
  <c r="G8" i="93"/>
  <c r="G8" i="94"/>
  <c r="E3" i="92"/>
  <c r="E3" i="91"/>
  <c r="E3" i="90"/>
  <c r="E3" i="89"/>
  <c r="E3" i="88"/>
  <c r="E3" i="87"/>
  <c r="E3" i="86"/>
  <c r="E3" i="85"/>
  <c r="E3" i="84"/>
  <c r="E3" i="83"/>
  <c r="E3" i="82"/>
  <c r="E3" i="81"/>
  <c r="E3" i="80"/>
  <c r="E3" i="79"/>
  <c r="E3" i="78"/>
  <c r="E3" i="77"/>
  <c r="E3" i="76"/>
  <c r="E3" i="75"/>
  <c r="E3" i="74"/>
  <c r="E3" i="73"/>
  <c r="E3" i="72"/>
  <c r="E3" i="71"/>
  <c r="E3" i="70"/>
  <c r="E3" i="69"/>
  <c r="E3" i="68"/>
  <c r="E3" i="67"/>
  <c r="E3" i="66"/>
  <c r="E3" i="65"/>
  <c r="E3" i="64"/>
  <c r="E3" i="63"/>
  <c r="E3" i="62"/>
  <c r="E3" i="61"/>
  <c r="E3" i="60"/>
  <c r="E3" i="59"/>
  <c r="E3" i="58"/>
  <c r="E3" i="57"/>
  <c r="E3" i="56"/>
  <c r="E3" i="55"/>
  <c r="E3" i="54"/>
  <c r="E3" i="53"/>
  <c r="E3" i="52"/>
  <c r="E3" i="51"/>
  <c r="E3" i="50"/>
  <c r="E3" i="49"/>
  <c r="E3" i="48"/>
  <c r="E3" i="47"/>
  <c r="E3" i="46"/>
  <c r="E3" i="45"/>
  <c r="E3" i="44"/>
  <c r="E3" i="43"/>
  <c r="E3" i="42"/>
  <c r="E3" i="41"/>
  <c r="E3" i="39"/>
  <c r="E3" i="38"/>
  <c r="E3" i="37"/>
  <c r="E3" i="36"/>
  <c r="E3" i="35"/>
  <c r="E3" i="34"/>
  <c r="E3" i="33"/>
  <c r="E3" i="32"/>
  <c r="E3" i="31"/>
  <c r="E3" i="30"/>
  <c r="E3" i="29"/>
  <c r="E3" i="28"/>
  <c r="E3" i="27"/>
  <c r="E3" i="26"/>
  <c r="E3" i="25"/>
  <c r="E3" i="24"/>
  <c r="E3" i="23"/>
  <c r="E3" i="22"/>
  <c r="E3" i="21"/>
  <c r="E3" i="20"/>
  <c r="E3" i="19"/>
  <c r="E3" i="18"/>
  <c r="E3" i="17"/>
  <c r="E3" i="16"/>
  <c r="E3" i="15"/>
  <c r="E3" i="14"/>
  <c r="E3" i="13"/>
  <c r="E3" i="12"/>
  <c r="E3" i="11"/>
  <c r="E3" i="10"/>
  <c r="E3" i="9"/>
  <c r="E3" i="8"/>
  <c r="E3" i="7"/>
  <c r="K24" i="92"/>
  <c r="K24" i="91"/>
  <c r="K24" i="90"/>
  <c r="K31" i="89"/>
  <c r="K35" i="88"/>
  <c r="K35" i="87"/>
  <c r="K26" i="86"/>
  <c r="K26" i="85"/>
  <c r="K26" i="84"/>
  <c r="K35" i="37"/>
  <c r="K35" i="35"/>
  <c r="K26" i="36"/>
  <c r="K24" i="82"/>
  <c r="K24" i="81"/>
  <c r="K24" i="80"/>
  <c r="K24" i="79"/>
  <c r="K24" i="78"/>
  <c r="K24" i="77"/>
  <c r="K24" i="76"/>
  <c r="K24" i="75"/>
  <c r="K24" i="74"/>
  <c r="K24" i="73"/>
  <c r="K24" i="72"/>
  <c r="K24" i="71"/>
  <c r="K24" i="70"/>
  <c r="K24" i="69"/>
  <c r="K24" i="68"/>
  <c r="K24" i="67"/>
  <c r="K24" i="66"/>
  <c r="K24" i="65"/>
  <c r="K24" i="64"/>
  <c r="K24" i="63"/>
  <c r="K24" i="62"/>
  <c r="K24" i="61"/>
  <c r="K24" i="60"/>
  <c r="K24" i="59"/>
  <c r="K24" i="58"/>
  <c r="K24" i="57"/>
  <c r="K24" i="56"/>
  <c r="K24" i="55"/>
  <c r="K24" i="54"/>
  <c r="K24" i="53"/>
  <c r="K27" i="52"/>
  <c r="K27" i="51"/>
  <c r="K27" i="50"/>
  <c r="K27" i="49"/>
  <c r="K27" i="48"/>
  <c r="K27" i="47"/>
  <c r="K27" i="46"/>
  <c r="K27" i="45"/>
  <c r="K27" i="44"/>
  <c r="K27" i="43"/>
  <c r="K27" i="42"/>
  <c r="K27" i="41"/>
  <c r="K27" i="39"/>
  <c r="K35" i="38"/>
  <c r="K27" i="32"/>
  <c r="K26" i="30"/>
  <c r="K27" i="34"/>
  <c r="K27" i="33"/>
  <c r="K26" i="29"/>
  <c r="K26" i="28"/>
  <c r="K26" i="27"/>
  <c r="K26" i="26"/>
  <c r="K26" i="25"/>
  <c r="K26" i="24"/>
  <c r="K26" i="23"/>
  <c r="K26" i="22"/>
  <c r="K26" i="21"/>
  <c r="K26" i="20"/>
  <c r="K26" i="19"/>
  <c r="K26" i="18"/>
  <c r="K26" i="17"/>
  <c r="K26" i="16"/>
  <c r="K26" i="15"/>
  <c r="K26" i="14"/>
  <c r="K26" i="13"/>
  <c r="K26" i="12"/>
  <c r="K26" i="11"/>
  <c r="K26" i="10"/>
  <c r="K26" i="9"/>
  <c r="K26" i="8"/>
  <c r="K27" i="31"/>
  <c r="K26" i="7"/>
  <c r="G9" i="89"/>
  <c r="G8" i="55"/>
  <c r="G8" i="12"/>
  <c r="G8" i="13"/>
  <c r="G8" i="16"/>
  <c r="G8" i="88"/>
  <c r="G8" i="17"/>
  <c r="G8" i="56"/>
  <c r="G8" i="18"/>
  <c r="G8" i="19"/>
  <c r="G8" i="20"/>
  <c r="G8" i="21"/>
  <c r="G9" i="87"/>
  <c r="G8" i="23"/>
  <c r="G8" i="41"/>
  <c r="G8" i="24"/>
  <c r="G8" i="42"/>
  <c r="G8" i="90"/>
  <c r="G8" i="25"/>
  <c r="G8" i="57"/>
  <c r="G8" i="26"/>
  <c r="G8" i="43"/>
  <c r="G8" i="27"/>
  <c r="G8" i="44"/>
  <c r="G8" i="28"/>
  <c r="G8" i="45"/>
  <c r="G8" i="46"/>
  <c r="G8" i="58"/>
  <c r="G8" i="47"/>
  <c r="G8" i="29"/>
  <c r="G8" i="48"/>
  <c r="G8" i="49"/>
  <c r="G8" i="33"/>
  <c r="G8" i="59"/>
  <c r="G8" i="91"/>
  <c r="G8" i="61"/>
  <c r="G8" i="60"/>
  <c r="G9" i="86"/>
  <c r="G8" i="62"/>
  <c r="G8" i="63"/>
  <c r="G8" i="34"/>
  <c r="G8" i="30"/>
  <c r="G8" i="64"/>
  <c r="G8" i="50"/>
  <c r="G8" i="51"/>
  <c r="G8" i="65"/>
  <c r="G8" i="66"/>
  <c r="G8" i="67"/>
  <c r="G8" i="68"/>
  <c r="G8" i="52"/>
  <c r="G8" i="69"/>
  <c r="G8" i="70"/>
  <c r="G8" i="71"/>
  <c r="G8" i="73"/>
  <c r="G8" i="92"/>
  <c r="G8" i="74"/>
  <c r="G8" i="72"/>
  <c r="G8" i="75"/>
  <c r="G8" i="76"/>
  <c r="G8" i="77"/>
  <c r="G8" i="78"/>
  <c r="G8" i="79"/>
  <c r="G8" i="32"/>
  <c r="G8" i="80"/>
  <c r="G8" i="81"/>
  <c r="G8" i="82"/>
  <c r="G8" i="83"/>
  <c r="G8" i="10"/>
  <c r="G8" i="54"/>
  <c r="G8" i="9"/>
  <c r="G8" i="85"/>
  <c r="G8" i="84"/>
  <c r="G8" i="37"/>
  <c r="G8" i="53"/>
  <c r="G8" i="39"/>
  <c r="G8" i="8"/>
  <c r="G9" i="36"/>
  <c r="G8" i="35"/>
  <c r="G8" i="31"/>
  <c r="G8" i="7"/>
</calcChain>
</file>

<file path=xl/sharedStrings.xml><?xml version="1.0" encoding="utf-8"?>
<sst xmlns="http://schemas.openxmlformats.org/spreadsheetml/2006/main" count="4851" uniqueCount="118">
  <si>
    <t>Equipo</t>
  </si>
  <si>
    <t>Papelería</t>
  </si>
  <si>
    <t>Guantes de carnaza largos</t>
  </si>
  <si>
    <t>Guantes de carnaza cortos</t>
  </si>
  <si>
    <t>Gafas de seguridad</t>
  </si>
  <si>
    <t>Guantes de electricista</t>
  </si>
  <si>
    <t>Casco de seguridad azul</t>
  </si>
  <si>
    <t>Credencial</t>
  </si>
  <si>
    <t>Pantalón</t>
  </si>
  <si>
    <t>Camisola</t>
  </si>
  <si>
    <t>Playera</t>
  </si>
  <si>
    <t>OEX</t>
  </si>
  <si>
    <t>X</t>
  </si>
  <si>
    <t>TME</t>
  </si>
  <si>
    <t>STU</t>
  </si>
  <si>
    <t>ENR</t>
  </si>
  <si>
    <t>TMM</t>
  </si>
  <si>
    <t>REN</t>
  </si>
  <si>
    <t>TMH</t>
  </si>
  <si>
    <t>AMP</t>
  </si>
  <si>
    <t>RPE</t>
  </si>
  <si>
    <t>OPE</t>
  </si>
  <si>
    <t>EMP</t>
  </si>
  <si>
    <t>ACA</t>
  </si>
  <si>
    <t>AXE</t>
  </si>
  <si>
    <t>AAM</t>
  </si>
  <si>
    <t>PLI</t>
  </si>
  <si>
    <t>MOL</t>
  </si>
  <si>
    <t>AMA</t>
  </si>
  <si>
    <t>APT</t>
  </si>
  <si>
    <t>APE</t>
  </si>
  <si>
    <t>AAT</t>
  </si>
  <si>
    <t>Otros</t>
  </si>
  <si>
    <t>Navaja gruesa</t>
  </si>
  <si>
    <t>Navaja fina</t>
  </si>
  <si>
    <t>Llavero allen 1.5-6.0 mm</t>
  </si>
  <si>
    <t>TMG</t>
  </si>
  <si>
    <t>Radio transmisor</t>
  </si>
  <si>
    <t>Teléfono</t>
  </si>
  <si>
    <t>Libreta profesional</t>
  </si>
  <si>
    <t>ANN - Analista de Nómina</t>
  </si>
  <si>
    <t>ASG - Administrador del SGC y Mejora Continua</t>
  </si>
  <si>
    <t>DJR - Diseñador Jr</t>
  </si>
  <si>
    <t>ASS - Analista de Seguridad y Salud</t>
  </si>
  <si>
    <t>ACD - Analista de Capacitación y Desarrollo de Talento</t>
  </si>
  <si>
    <t>ARH - Analista de Recursos Humanos</t>
  </si>
  <si>
    <t>IPR - Ingeniero de Procesos</t>
  </si>
  <si>
    <t>STU - Supervisor de Turno</t>
  </si>
  <si>
    <t>ACA - Auditor de Calidad - Proceso</t>
  </si>
  <si>
    <t>REN - Responsable de Enrollado</t>
  </si>
  <si>
    <t>GSE</t>
  </si>
  <si>
    <t>AAC - Auxiliar de Calidad</t>
  </si>
  <si>
    <t>Guantes mecánicos naranjas</t>
  </si>
  <si>
    <t>Zapato de seguridad</t>
  </si>
  <si>
    <t>Calculadora</t>
  </si>
  <si>
    <t>Entrega-recepción de equipos, herramientas, uniformes, EPP y papelería</t>
  </si>
  <si>
    <t>Nombre del trabajador:</t>
  </si>
  <si>
    <t>Matrícula:</t>
  </si>
  <si>
    <t>Los motivos de entrega-recepción pueden ser: CONTRATACIÓN, CAMBIO DE PUESTO O BAJA.</t>
  </si>
  <si>
    <t>Motivo de entrega - recepción</t>
  </si>
  <si>
    <t>Puesto</t>
  </si>
  <si>
    <t>Fecha</t>
  </si>
  <si>
    <t>RECURSOS PARA ASIGNACIÓN Y/O DEVOLUCIÓN</t>
  </si>
  <si>
    <t>No.</t>
  </si>
  <si>
    <t>Asignación</t>
  </si>
  <si>
    <t>Devolución</t>
  </si>
  <si>
    <t>Herramienta</t>
  </si>
  <si>
    <t>Uniforme</t>
  </si>
  <si>
    <t>EPP</t>
  </si>
  <si>
    <t>Descripción</t>
  </si>
  <si>
    <t>Cantidad</t>
  </si>
  <si>
    <t>Unidad</t>
  </si>
  <si>
    <t>Firma</t>
  </si>
  <si>
    <t>Observaciones:</t>
  </si>
  <si>
    <t>Contratación</t>
  </si>
  <si>
    <t>Lapicero tinta azul</t>
  </si>
  <si>
    <t>Zapatos de seguridad</t>
  </si>
  <si>
    <t>Chaleco azul rey</t>
  </si>
  <si>
    <t>Casco de seguridad</t>
  </si>
  <si>
    <t>Cambio de puesto</t>
  </si>
  <si>
    <t>Suspensión de casco de seguridad</t>
  </si>
  <si>
    <t>Barbiquejo para casco de seguridad</t>
  </si>
  <si>
    <t>Cajón de estacionamiento No. 11/12</t>
  </si>
  <si>
    <t>Suspensión de casco</t>
  </si>
  <si>
    <t>Lentes de seguridad</t>
  </si>
  <si>
    <t>PRODUCCIÓN</t>
  </si>
  <si>
    <t>MANTENIMIENTO</t>
  </si>
  <si>
    <t>ABASTECIMIENTO DE MATERIALES</t>
  </si>
  <si>
    <t>PLANEACIÓN DE LA PRODUCCIÓN Y ENTREGAS</t>
  </si>
  <si>
    <t>CALIDAD-PROCESO</t>
  </si>
  <si>
    <t>ABASTECIMIENTO DE MATERIALES AUXILIARES</t>
  </si>
  <si>
    <t>SEGURIDAD Y SALUD / RECURSOS HUMANOS</t>
  </si>
  <si>
    <t>Chaleco gris</t>
  </si>
  <si>
    <t>Radio transmisor (compartido)</t>
  </si>
  <si>
    <t>Chaleco azul marino</t>
  </si>
  <si>
    <t>Mouse (compartido)</t>
  </si>
  <si>
    <t>Regulador (compartido)</t>
  </si>
  <si>
    <t>Casco de seguridad color rojo</t>
  </si>
  <si>
    <t>Llave de Laboratorio</t>
  </si>
  <si>
    <t>Pza</t>
  </si>
  <si>
    <t>Pzas</t>
  </si>
  <si>
    <t>Equipo de cómputo y cargador (compartido)</t>
  </si>
  <si>
    <t>Protección facial</t>
  </si>
  <si>
    <t>Barbiquejo para casco</t>
  </si>
  <si>
    <t>Casco de seguridad color azul</t>
  </si>
  <si>
    <t>Marcador permanente</t>
  </si>
  <si>
    <t>Kit de limpieza para impresora</t>
  </si>
  <si>
    <t>Tinta para sellos</t>
  </si>
  <si>
    <t>Sello de turno (compartido)</t>
  </si>
  <si>
    <t>Llave de locker Responsable de Enrollado</t>
  </si>
  <si>
    <t>Tabla de apoyo</t>
  </si>
  <si>
    <t>Tijeras (compartidas)</t>
  </si>
  <si>
    <t>Llave Limpieza</t>
  </si>
  <si>
    <t>Libreta profesional cuadro chico</t>
  </si>
  <si>
    <t>Segueta mecánica usada</t>
  </si>
  <si>
    <t>Guantes mecánicos naranja</t>
  </si>
  <si>
    <t>Par</t>
  </si>
  <si>
    <t>Credencial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</si>
</sst>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</font>
    <font>
      <sz val="10"/>
      <color theme="1"/>
      <name val="Aptos Narrow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sz val="9"/>
      <color theme="1"/>
      <name val="Aptos Display"/>
      <family val="2"/>
    </font>
    <font>
      <b/>
      <sz val="12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2"/>
      <color theme="1"/>
      <name val="Arial"/>
      <family val="2"/>
    </font>
    <font>
      <b/>
      <sz val="28"/>
      <color theme="1"/>
      <name val="Aptos Display"/>
      <family val="2"/>
    </font>
    <font>
      <b/>
      <sz val="28"/>
      <name val="Aptos Display"/>
      <family val="2"/>
    </font>
    <font>
      <b/>
      <sz val="26"/>
      <color theme="1"/>
      <name val="Aptos Display"/>
      <family val="2"/>
    </font>
    <font>
      <b/>
      <sz val="24"/>
      <color theme="1"/>
      <name val="Aptos Display"/>
      <family val="2"/>
    </font>
  </fonts>
  <fills count="12">
    <fill>
      <patternFill patternType="none"/>
    </fill>
    <fill>
      <patternFill patternType="gray125"/>
    </fill>
    <fill>
      <patternFill patternType="solid">
        <fgColor rgb="FF9C9B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782B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6E0B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" fillId="0" borderId="0"/>
    <xf numFmtId="0" fontId="3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 vertical="center" indent="1"/>
    </xf>
    <xf numFmtId="0" fontId="8" fillId="2" borderId="1" xfId="0" applyFont="1" applyFill="1" applyBorder="1" applyAlignment="1">
      <alignment horizontal="center" vertical="center" textRotation="90"/>
    </xf>
    <xf numFmtId="0" fontId="6" fillId="9" borderId="1" xfId="0" applyFont="1" applyFill="1" applyBorder="1" applyAlignment="1">
      <alignment horizontal="center" vertical="center" textRotation="90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7" borderId="1" xfId="1" applyFont="1" applyFill="1" applyBorder="1" applyAlignment="1">
      <alignment horizontal="center" vertical="center"/>
    </xf>
    <xf numFmtId="0" fontId="11" fillId="8" borderId="1" xfId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11" fillId="11" borderId="1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2" fillId="0" borderId="0" xfId="1" quotePrefix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textRotation="90"/>
    </xf>
    <xf numFmtId="0" fontId="12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center" indent="1"/>
    </xf>
    <xf numFmtId="14" fontId="0" fillId="0" borderId="1" xfId="0" applyNumberFormat="1" applyBorder="1" applyAlignment="1">
      <alignment horizontal="center" vertical="center"/>
    </xf>
  </cellXfs>
  <cellStyles count="5">
    <cellStyle name="Hipervínculo" xfId="1" builtinId="8"/>
    <cellStyle name="Normal" xfId="0" builtinId="0"/>
    <cellStyle name="Normal 2" xfId="2" xr:uid="{935BBE7B-07D1-41FF-BA60-14448CBAD43F}"/>
    <cellStyle name="Normal 2 2" xfId="4" xr:uid="{134DFC6C-00B6-46F8-A432-828AED55A976}"/>
    <cellStyle name="Normal 3" xfId="3" xr:uid="{B4188B43-7B44-4C18-9A9A-3E019677D838}"/>
  </cellStyles>
  <dxfs count="0"/>
  <tableStyles count="0" defaultTableStyle="TableStyleMedium2" defaultPivotStyle="PivotStyleLight16"/>
  <colors>
    <mruColors>
      <color rgb="FF1782B5"/>
      <color rgb="FF9C9B9B"/>
      <color rgb="FFC6E0B4"/>
      <color rgb="FFA9D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2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DE60C9-02F2-44A7-A4ED-8CA6ED324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2CBF69-B06B-4BDD-B64E-33C49B033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A779E5-3281-4739-ACAB-CE31418E1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ED46F7-5974-488C-8A9B-BB599AB96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5AFDE9B-3607-491A-B38C-B058E5A5A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2A22FD-553F-48B4-99F9-7EF323CF6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96D571-11E4-4E40-9142-65F269899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420F7B-3C25-45EA-BB5A-A4D63DB6F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631A23-B2FD-4E08-9119-D896A9C4D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C16E8F-058E-4822-BD8C-B1FF5A766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B1D78A-B79C-4242-A29E-8FADF87BD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A7BA37-A7F7-4C14-90FA-388815551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C85C37-59DA-46F8-A6CD-7EB4185FB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7AE20A-644C-461D-9B00-5046014DE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D5BA50-B2F6-47AE-AD70-2900CFA72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BC2053-6ADA-4988-BE62-BD77B0B8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7386C1-B2C3-47F7-A38D-0E81AA9D6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812BA1-9EDB-403E-B90F-01CB515BC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0528A5-8A25-44B6-877D-5F4BC0080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156E94-5603-442C-AD76-3DFC21243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1041B4-6A7B-4491-B3EE-AEA864A9A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74575" cy="5400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E38717-6AC7-46F9-A5DC-BBCDBBC86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95FF25-F97F-418F-B898-B4EF70422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038181-A2AA-4A74-9F2F-EB7C6B8AE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CD6802-168D-4DE7-9272-1BDE5D83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B628EA-319A-44A9-9FC5-D511FC3C2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C6F106-61C2-4DF1-9CAF-87AFAF4CB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8F3BA6-3B3D-49AD-ABA9-F4AB97E97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14B948-5837-4923-9AA0-9F1BC8F42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E0FBEF-4DD6-4728-93DB-AFEFEA5DB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E95061-C8E9-4C18-A254-4DE53CF8F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76DBF8-4D20-4B95-B5D0-443F6F7EC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78062D-5DD7-451F-AA5B-5E9CF5D58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79E374-3731-49B3-884F-B674F3337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A0F639-1FA4-499D-8533-B60D0BF66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113ECD-6604-4D72-8229-E2CAFFA86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FDAD31-D832-45A6-AF29-7361463D0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5C0C29-6FFA-48E0-BC4D-933E8B303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BA7859-BF5D-4545-864D-9E1848A8A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062D04-1EB7-4E7D-80B5-C2A321401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8245A0-76E7-4A33-A369-9D635502D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3CF6B5-1B65-4011-ADA3-EE08177EC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34A76B-0127-4D7D-AA44-C5CB7C3F1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79F6F6-5FD0-44E1-A01A-CA36ADD1C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A0E798-D967-4E7D-B131-A521E0B7A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A690BC-FB1C-46FF-B9D4-D4BD1A140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2BE855-20FB-404A-950D-C9319A9F5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B1752B-A7ED-4FD2-B0D1-A820B0728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  <xdr:oneCellAnchor>
    <xdr:from>
      <xdr:col>13</xdr:col>
      <xdr:colOff>714375</xdr:colOff>
      <xdr:row>7</xdr:row>
      <xdr:rowOff>123825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D895CFA-B55F-940C-7F0D-8A4A28BB7B10}"/>
            </a:ext>
          </a:extLst>
        </xdr:cNvPr>
        <xdr:cNvSpPr txBox="1"/>
      </xdr:nvSpPr>
      <xdr:spPr>
        <a:xfrm>
          <a:off x="7915275" y="1628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5A4D03-F537-43DF-9554-F849C4E85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707A0E-0615-461A-9B81-8191469C3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2AE934-009C-4EB4-8149-EE0A4DD15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65D8DB-8A66-4E5A-AF66-DD4C4375A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545EB9-DBE2-4C5E-ABE7-3CDB73D23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3D6BDA-DE0A-4935-90EB-36C62B92F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921484-5945-4CC3-B75C-48C2523E7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7E25C1-A1E6-47CB-BBDA-15A059DF7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351F93-9A38-415C-B0C2-17CA2A648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45BAA3-220F-41A0-ADF6-269C53BBB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54523C-41DC-45C9-A8FE-92C46EE8C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AF0CFC-74B9-4ADF-B893-DDA5200B9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E68406-21A8-4F3E-972D-31F4DC723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AD6FB-3261-4B59-8856-34EC53723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F63131-F9A9-449C-B8D5-2E93161CB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7DA455-C7C3-4712-9016-317A55FE7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26E6DB-9FEC-4E63-99EB-B8E208383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7DA5FB-5847-475A-ACEC-60C625476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47A4E0-C10F-4560-9C6B-849267B00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BF16AC-1272-4A6B-B796-5799589CA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3503E8-0339-425A-B5C3-DEF4AEDCD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CA35DE-8677-48FD-81E5-D83289285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D3E0E8-8F7F-41EA-93CE-E57540686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B87F68-AEBF-4502-B3FF-55500F47B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AB9531-9058-411E-A346-58C27486A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857E59-69D7-43CE-A940-248D36C28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5D2B33-D46E-4483-A49E-83D05033E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383235-EE4F-4196-9A6E-CCA6E0266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E3EDE0-1F1C-44AE-8B8E-4951068C4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E1B718-5F6C-4308-BFA1-CCB83D3BE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A1351E-C15D-4017-9AB7-A2F657EF3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74575" cy="5400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94E88D-1D52-4007-A932-9A2A45096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178F32-1412-412B-A8DD-214AA7753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69B40C-38DE-4D68-B87D-59AFA0231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ADD0ED-956F-4317-9120-25C0B1DF2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837D32-34EE-4F5C-AF04-B7DE77318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0ECDC2-6726-4FEA-9D12-E0A2A7806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85F2E9-D79C-472A-9973-9586A343D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22860</xdr:rowOff>
    </xdr:from>
    <xdr:to>
      <xdr:col>1</xdr:col>
      <xdr:colOff>191695</xdr:colOff>
      <xdr:row>1</xdr:row>
      <xdr:rowOff>59940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8AE72D-0C1B-47D2-9D76-6274D37EC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22860"/>
          <a:ext cx="382195" cy="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SIGNACIONES\PERSONAL%20ACTIVO%202026.xlsx" TargetMode="External"/><Relationship Id="rId1" Type="http://schemas.openxmlformats.org/officeDocument/2006/relationships/externalLinkPath" Target="PERSONAL%20ACTIV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SIGNACIONES\CONTROL%20DE%20LOCKERS-ESTACIONAMIENTO.xlsx" TargetMode="External"/><Relationship Id="rId1" Type="http://schemas.openxmlformats.org/officeDocument/2006/relationships/externalLinkPath" Target="CONTROL%20DE%20LOCKERS-ESTACIONAMI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o26"/>
    </sheetNames>
    <sheetDataSet>
      <sheetData sheetId="0">
        <row r="2">
          <cell r="B2" t="str">
            <v>MATRÍCULA</v>
          </cell>
          <cell r="C2" t="str">
            <v>NOMBRE</v>
          </cell>
          <cell r="D2" t="str">
            <v>CLAVE PUESTO</v>
          </cell>
          <cell r="E2" t="str">
            <v>PUESTO</v>
          </cell>
        </row>
        <row r="3">
          <cell r="B3">
            <v>10</v>
          </cell>
          <cell r="C3" t="str">
            <v>PASCUAL GUADALUPE TREJO MALDONADO</v>
          </cell>
          <cell r="D3" t="str">
            <v>OEX</v>
          </cell>
          <cell r="E3" t="str">
            <v>OEX - Operador de Extrusión</v>
          </cell>
        </row>
        <row r="4">
          <cell r="B4">
            <v>11</v>
          </cell>
          <cell r="C4" t="str">
            <v>JOSÉ MANUEL ORTIZ GONZÁLEZ</v>
          </cell>
          <cell r="D4" t="str">
            <v>TME</v>
          </cell>
          <cell r="E4" t="str">
            <v>TME - Técnico en Mantenimiento Eléctrico</v>
          </cell>
        </row>
        <row r="5">
          <cell r="B5">
            <v>14</v>
          </cell>
          <cell r="C5" t="str">
            <v>EFRÉN CONDE ORTIZ</v>
          </cell>
          <cell r="D5" t="str">
            <v>STU</v>
          </cell>
          <cell r="E5" t="str">
            <v>STU - Supervisor de Turno</v>
          </cell>
        </row>
        <row r="6">
          <cell r="B6">
            <v>18</v>
          </cell>
          <cell r="C6" t="str">
            <v>GUSTAVO ROLDÁN HERNÁNDEZ</v>
          </cell>
          <cell r="D6" t="str">
            <v>OEX</v>
          </cell>
          <cell r="E6" t="str">
            <v>OEX - Operador de Extrusión</v>
          </cell>
        </row>
        <row r="7">
          <cell r="B7">
            <v>20</v>
          </cell>
          <cell r="C7" t="str">
            <v>JUVENAL ROSAS CORTÉS</v>
          </cell>
          <cell r="D7" t="str">
            <v>OEX</v>
          </cell>
          <cell r="E7" t="str">
            <v>OEX - Operador de Extrusión</v>
          </cell>
        </row>
        <row r="8">
          <cell r="B8">
            <v>21</v>
          </cell>
          <cell r="C8" t="str">
            <v>SALVADOR BRIONES HERNÁNDEZ</v>
          </cell>
          <cell r="D8" t="str">
            <v>TGA</v>
          </cell>
          <cell r="E8" t="str">
            <v>TGA - Técnico en Mantenimiento General A</v>
          </cell>
        </row>
        <row r="9">
          <cell r="B9">
            <v>23</v>
          </cell>
          <cell r="C9" t="str">
            <v>HÉCTOR MARTÍN TREJO MALDONADO</v>
          </cell>
          <cell r="D9" t="str">
            <v>ENR</v>
          </cell>
          <cell r="E9" t="str">
            <v>ENR - Enrollador</v>
          </cell>
        </row>
        <row r="10">
          <cell r="B10">
            <v>24</v>
          </cell>
          <cell r="C10" t="str">
            <v>ERICK MORÁN PÉREZ</v>
          </cell>
          <cell r="D10" t="str">
            <v>TMM</v>
          </cell>
          <cell r="E10" t="str">
            <v>TMM - Técnico en Mantenimiento Mecánico</v>
          </cell>
        </row>
        <row r="11">
          <cell r="B11">
            <v>27</v>
          </cell>
          <cell r="C11" t="str">
            <v>ARCADIO MENDOZA CARBAJAL</v>
          </cell>
          <cell r="D11" t="str">
            <v>STU</v>
          </cell>
          <cell r="E11" t="str">
            <v>STU - Supervisor de Turno</v>
          </cell>
        </row>
        <row r="12">
          <cell r="B12">
            <v>28</v>
          </cell>
          <cell r="C12" t="str">
            <v>JOSÉ DELFINO MUÑOZ CEREZO</v>
          </cell>
          <cell r="D12" t="str">
            <v>REN</v>
          </cell>
          <cell r="E12" t="str">
            <v>REN - Responsable de Enrollado</v>
          </cell>
        </row>
        <row r="13">
          <cell r="B13">
            <v>30</v>
          </cell>
          <cell r="C13" t="str">
            <v>GREGORIO MENDOZA CARBAJAL</v>
          </cell>
          <cell r="D13" t="str">
            <v>TMM</v>
          </cell>
          <cell r="E13" t="str">
            <v>TMM - Técnico en Mantenimiento Mecánico</v>
          </cell>
        </row>
        <row r="14">
          <cell r="B14">
            <v>31</v>
          </cell>
          <cell r="C14" t="str">
            <v>CIPRIANO GUTIÉRREZ DÍAZ</v>
          </cell>
          <cell r="D14" t="str">
            <v>TMH</v>
          </cell>
          <cell r="E14" t="str">
            <v>TMH - Técnico en Mantenimiento de Herramentales</v>
          </cell>
        </row>
        <row r="15">
          <cell r="B15">
            <v>37</v>
          </cell>
          <cell r="C15" t="str">
            <v>JAVIER PEDRO CORTEZ BORJES</v>
          </cell>
          <cell r="D15" t="str">
            <v>AMP</v>
          </cell>
          <cell r="E15" t="str">
            <v>AMP - Almacenista de Materia Prima</v>
          </cell>
        </row>
        <row r="16">
          <cell r="B16">
            <v>40</v>
          </cell>
          <cell r="C16" t="str">
            <v>ANDRÉS GARCÍA DÍAZ</v>
          </cell>
          <cell r="D16" t="str">
            <v>DPL</v>
          </cell>
          <cell r="E16" t="str">
            <v>DPL - Director de Planta</v>
          </cell>
        </row>
        <row r="17">
          <cell r="B17">
            <v>43</v>
          </cell>
          <cell r="C17" t="str">
            <v>JULIO CÉSAR SANTILLÁN BADILLO</v>
          </cell>
          <cell r="D17" t="str">
            <v>GPL</v>
          </cell>
          <cell r="E17" t="str">
            <v>GPL - Gerente de Planeación de la Producción y Entregas</v>
          </cell>
        </row>
        <row r="18">
          <cell r="B18">
            <v>54</v>
          </cell>
          <cell r="C18" t="str">
            <v>JOEL GONZÁLEZ SAGASTUME</v>
          </cell>
          <cell r="D18" t="str">
            <v>REN</v>
          </cell>
          <cell r="E18" t="str">
            <v>REN - Responsable de Enrollado</v>
          </cell>
        </row>
        <row r="19">
          <cell r="B19">
            <v>57</v>
          </cell>
          <cell r="C19" t="str">
            <v>SAÚL REYES LIRA</v>
          </cell>
          <cell r="D19" t="str">
            <v>GMA</v>
          </cell>
          <cell r="E19" t="str">
            <v>GMA - Gerente de Mantenimiento</v>
          </cell>
        </row>
        <row r="20">
          <cell r="B20">
            <v>76</v>
          </cell>
          <cell r="C20" t="str">
            <v>EDER FRANCISCO AGUILAR MONROY</v>
          </cell>
          <cell r="D20" t="str">
            <v>OEX</v>
          </cell>
          <cell r="E20" t="str">
            <v>OEX - Operador de Extrusión</v>
          </cell>
        </row>
        <row r="21">
          <cell r="B21">
            <v>88</v>
          </cell>
          <cell r="C21" t="str">
            <v xml:space="preserve">PEDRO GONZÁLEZ HERNÁNDEZ </v>
          </cell>
          <cell r="D21" t="str">
            <v>RPE</v>
          </cell>
          <cell r="E21" t="str">
            <v>RPE - Responsable de Almacén de Producto Terminado y Empaque</v>
          </cell>
        </row>
        <row r="22">
          <cell r="B22">
            <v>91</v>
          </cell>
          <cell r="C22" t="str">
            <v>ANDRÉS GARCÍA GONZÁLEZ</v>
          </cell>
          <cell r="D22" t="str">
            <v>ENR</v>
          </cell>
          <cell r="E22" t="str">
            <v>ENR - Enrollador</v>
          </cell>
        </row>
        <row r="23">
          <cell r="B23">
            <v>93</v>
          </cell>
          <cell r="C23" t="str">
            <v>MARTÍN ARANDA HERNÁNDEZ</v>
          </cell>
          <cell r="D23" t="str">
            <v>OEX</v>
          </cell>
          <cell r="E23" t="str">
            <v>OEX - Operador de Extrusión</v>
          </cell>
        </row>
        <row r="24">
          <cell r="B24">
            <v>98</v>
          </cell>
          <cell r="C24" t="str">
            <v>MARIO HERNÁNDEZ JIMÉNEZ</v>
          </cell>
          <cell r="D24" t="str">
            <v>TMG</v>
          </cell>
          <cell r="E24" t="str">
            <v>TMG - Técnico en Mantenimiento General (Construcción)</v>
          </cell>
        </row>
        <row r="25">
          <cell r="B25">
            <v>149</v>
          </cell>
          <cell r="C25" t="str">
            <v>IVÁN MENESES REYES</v>
          </cell>
          <cell r="D25" t="str">
            <v>OEX</v>
          </cell>
          <cell r="E25" t="str">
            <v>OEX - Operador de Extrusión</v>
          </cell>
        </row>
        <row r="26">
          <cell r="B26">
            <v>152</v>
          </cell>
          <cell r="C26" t="str">
            <v>ELIEL SUÁREZ PEREA</v>
          </cell>
          <cell r="D26" t="str">
            <v>ENR</v>
          </cell>
          <cell r="E26" t="str">
            <v>ENR - Enrollador</v>
          </cell>
        </row>
        <row r="27">
          <cell r="B27">
            <v>165</v>
          </cell>
          <cell r="C27" t="str">
            <v>SAMUEL HERNÁNDEZ DE LA CRUZ</v>
          </cell>
          <cell r="D27" t="str">
            <v>OEX</v>
          </cell>
          <cell r="E27" t="str">
            <v>OEX - Operador de Extrusión</v>
          </cell>
        </row>
        <row r="28">
          <cell r="B28">
            <v>173</v>
          </cell>
          <cell r="C28" t="str">
            <v>JOSÉ CARLOS MEJÍA SOTO</v>
          </cell>
          <cell r="D28" t="str">
            <v>OEX</v>
          </cell>
          <cell r="E28" t="str">
            <v>OEX - Operador de Extrusión</v>
          </cell>
        </row>
        <row r="29">
          <cell r="B29">
            <v>176</v>
          </cell>
          <cell r="C29" t="str">
            <v>GABRIEL MORALES ORTEGA</v>
          </cell>
          <cell r="D29" t="str">
            <v>OEX</v>
          </cell>
          <cell r="E29" t="str">
            <v>OEX - Operador de Extrusión</v>
          </cell>
        </row>
        <row r="30">
          <cell r="B30">
            <v>187</v>
          </cell>
          <cell r="C30" t="str">
            <v>HUGO FABIÁN CALDERÓN GUERRERO</v>
          </cell>
          <cell r="D30" t="str">
            <v>OPE</v>
          </cell>
          <cell r="E30" t="str">
            <v>OPE - Operador de Pelletizado</v>
          </cell>
        </row>
        <row r="31">
          <cell r="B31">
            <v>197</v>
          </cell>
          <cell r="C31" t="str">
            <v xml:space="preserve">MA. CONCEPCIÓN GUADALUPE BORJAS MÁRQUEZ </v>
          </cell>
          <cell r="D31" t="str">
            <v>GAD</v>
          </cell>
          <cell r="E31" t="str">
            <v>GAD - Gerente de Administración</v>
          </cell>
        </row>
        <row r="32">
          <cell r="B32">
            <v>198</v>
          </cell>
          <cell r="C32" t="str">
            <v>PATRICIA ÁNGELES TOLENTINO</v>
          </cell>
          <cell r="D32" t="str">
            <v>EMP</v>
          </cell>
          <cell r="E32" t="str">
            <v>EMP - Empacador</v>
          </cell>
        </row>
        <row r="33">
          <cell r="B33">
            <v>199</v>
          </cell>
          <cell r="C33" t="str">
            <v>BENJAMÍN ROSALES ROMERO</v>
          </cell>
          <cell r="D33" t="str">
            <v>OEX</v>
          </cell>
          <cell r="E33" t="str">
            <v>OEX - Operador de Extrusión</v>
          </cell>
        </row>
        <row r="34">
          <cell r="B34">
            <v>202</v>
          </cell>
          <cell r="C34" t="str">
            <v>RAYMUNDO RAMÓN AVILÉS BARRAZA</v>
          </cell>
          <cell r="D34" t="str">
            <v>OPE</v>
          </cell>
          <cell r="E34" t="str">
            <v>OPE - Operador de Pelletizado</v>
          </cell>
        </row>
        <row r="35">
          <cell r="B35">
            <v>211</v>
          </cell>
          <cell r="C35" t="str">
            <v>FELIPE QUIROZ LIRA</v>
          </cell>
          <cell r="D35" t="str">
            <v>OPE</v>
          </cell>
          <cell r="E35" t="str">
            <v>OPE - Operador de Pelletizado</v>
          </cell>
        </row>
        <row r="36">
          <cell r="B36">
            <v>233</v>
          </cell>
          <cell r="C36" t="str">
            <v>GERMÁN ALVARADO PÉREZ</v>
          </cell>
          <cell r="D36" t="str">
            <v>OEX</v>
          </cell>
          <cell r="E36" t="str">
            <v>OEX - Operador de Extrusión</v>
          </cell>
        </row>
        <row r="37">
          <cell r="B37">
            <v>237</v>
          </cell>
          <cell r="C37" t="str">
            <v>SALVADOR ROSAS RAMOS</v>
          </cell>
          <cell r="D37" t="str">
            <v>TMM</v>
          </cell>
          <cell r="E37" t="str">
            <v>TMM - Técnico en Mantenimiento Mecánico</v>
          </cell>
        </row>
        <row r="38">
          <cell r="B38">
            <v>251</v>
          </cell>
          <cell r="C38" t="str">
            <v>LUIS ENRIQUE GARCÍA BORGES</v>
          </cell>
          <cell r="D38" t="str">
            <v>ACA</v>
          </cell>
          <cell r="E38" t="str">
            <v>ACA - Auditor de Calidad - Proceso</v>
          </cell>
        </row>
        <row r="39">
          <cell r="B39">
            <v>263</v>
          </cell>
          <cell r="C39" t="str">
            <v>ABRAHAM ROSALES DIONICIO</v>
          </cell>
          <cell r="D39" t="str">
            <v>OEX</v>
          </cell>
          <cell r="E39" t="str">
            <v>OEX - Operador de Extrusión</v>
          </cell>
        </row>
        <row r="40">
          <cell r="B40">
            <v>266</v>
          </cell>
          <cell r="C40" t="str">
            <v>ZABDI GARCÍA LAGUNA</v>
          </cell>
          <cell r="D40" t="str">
            <v>ENR</v>
          </cell>
          <cell r="E40" t="str">
            <v>ENR - Enrollador</v>
          </cell>
        </row>
        <row r="41">
          <cell r="B41">
            <v>278</v>
          </cell>
          <cell r="C41" t="str">
            <v>LUIS ALBERTO MEDINA SAAVEDRA</v>
          </cell>
          <cell r="D41" t="str">
            <v>OEX</v>
          </cell>
          <cell r="E41" t="str">
            <v>OEX - Operador de Extrusión</v>
          </cell>
        </row>
        <row r="42">
          <cell r="B42">
            <v>281</v>
          </cell>
          <cell r="C42" t="str">
            <v>JUAN CARLOS ARANDA DE JESÚS</v>
          </cell>
          <cell r="D42" t="str">
            <v>OEX</v>
          </cell>
          <cell r="E42" t="str">
            <v>OEX - Operador de Extrusión</v>
          </cell>
        </row>
        <row r="43">
          <cell r="B43">
            <v>293</v>
          </cell>
          <cell r="C43" t="str">
            <v>JUAN CARLOS VARGAS CAZARES</v>
          </cell>
          <cell r="D43" t="str">
            <v>OEX</v>
          </cell>
          <cell r="E43" t="str">
            <v>OEX - Operador de Extrusión</v>
          </cell>
        </row>
        <row r="44">
          <cell r="B44">
            <v>295</v>
          </cell>
          <cell r="C44" t="str">
            <v>JOSÉ CARLOS CRUZ PARRA</v>
          </cell>
          <cell r="D44" t="str">
            <v>OEX</v>
          </cell>
          <cell r="E44" t="str">
            <v>OEX - Operador de Extrusión</v>
          </cell>
        </row>
        <row r="45">
          <cell r="B45">
            <v>299</v>
          </cell>
          <cell r="C45" t="str">
            <v>ASAEL SURIST HERNÁNDEZ ROMERO</v>
          </cell>
          <cell r="D45" t="str">
            <v>OEX</v>
          </cell>
          <cell r="E45" t="str">
            <v>OEX - Operador de Extrusión</v>
          </cell>
        </row>
        <row r="46">
          <cell r="B46">
            <v>310</v>
          </cell>
          <cell r="C46" t="str">
            <v>LUIS ENRIQUE MARTÍNEZ FRANCO</v>
          </cell>
          <cell r="D46" t="str">
            <v>ACA</v>
          </cell>
          <cell r="E46" t="str">
            <v>ACA - Auditor de Calidad - Proceso</v>
          </cell>
        </row>
        <row r="47">
          <cell r="B47">
            <v>318</v>
          </cell>
          <cell r="C47" t="str">
            <v>OLIVER ARTURO MÉRIDA JIMÉNEZ</v>
          </cell>
          <cell r="D47" t="str">
            <v>AAM</v>
          </cell>
          <cell r="E47" t="str">
            <v>AAM - Auxiliar de Almacén de Materia Prima</v>
          </cell>
        </row>
        <row r="48">
          <cell r="B48">
            <v>322</v>
          </cell>
          <cell r="C48" t="str">
            <v>GUILLERMO VEGA ARELLANO</v>
          </cell>
          <cell r="D48" t="str">
            <v>OPE</v>
          </cell>
          <cell r="E48" t="str">
            <v>OPE - Operador de Pelletizado</v>
          </cell>
        </row>
        <row r="49">
          <cell r="B49">
            <v>333</v>
          </cell>
          <cell r="C49" t="str">
            <v>MARÍA SOLEDAD ITZEL ISLAS PEREA</v>
          </cell>
          <cell r="D49" t="str">
            <v>GCD</v>
          </cell>
          <cell r="E49" t="str">
            <v>GCD - Gerente de Calidad, Diseño y Desarrollo</v>
          </cell>
        </row>
        <row r="50">
          <cell r="B50">
            <v>351</v>
          </cell>
          <cell r="C50" t="str">
            <v>JOEL ABRAHAM SUÁREZ LIMONES</v>
          </cell>
          <cell r="D50" t="str">
            <v>OEX</v>
          </cell>
          <cell r="E50" t="str">
            <v>OEX - Operador de Extrusión</v>
          </cell>
        </row>
        <row r="51">
          <cell r="B51">
            <v>353</v>
          </cell>
          <cell r="C51" t="str">
            <v>YURIBIA RAMÍREZ SAMPERIO</v>
          </cell>
          <cell r="D51" t="str">
            <v>GRH</v>
          </cell>
          <cell r="E51" t="str">
            <v>GRH - Gerente de Recursos Humanos</v>
          </cell>
        </row>
        <row r="52">
          <cell r="B52">
            <v>362</v>
          </cell>
          <cell r="C52" t="str">
            <v>EDUARDO ALBERTO REZA PEDRAZA</v>
          </cell>
          <cell r="D52" t="str">
            <v>AXE</v>
          </cell>
          <cell r="E52" t="str">
            <v>AXE - Auxiliar de Extrusión</v>
          </cell>
        </row>
        <row r="53">
          <cell r="B53">
            <v>371</v>
          </cell>
          <cell r="C53" t="str">
            <v>JULIO CÉSAR HERNÁNDEZ MÁRQUEZ</v>
          </cell>
          <cell r="D53" t="str">
            <v>AXE</v>
          </cell>
          <cell r="E53" t="str">
            <v>AXE - Auxiliar de Extrusión</v>
          </cell>
        </row>
        <row r="54">
          <cell r="B54">
            <v>373</v>
          </cell>
          <cell r="C54" t="str">
            <v>SANDRA JARDINEZ LUQUEÑO</v>
          </cell>
          <cell r="D54" t="str">
            <v>PLI</v>
          </cell>
          <cell r="E54" t="str">
            <v>PLI - Personal de Limpieza</v>
          </cell>
        </row>
        <row r="55">
          <cell r="B55">
            <v>376</v>
          </cell>
          <cell r="C55" t="str">
            <v>JOSÉ LUIS PÉREZ RAMÍREZ</v>
          </cell>
          <cell r="D55" t="str">
            <v>OEX</v>
          </cell>
          <cell r="E55" t="str">
            <v>OEX - Operador de Extrusión</v>
          </cell>
        </row>
        <row r="56">
          <cell r="B56">
            <v>385</v>
          </cell>
          <cell r="C56" t="str">
            <v xml:space="preserve">ALEJANDRO ATENCO FRANCO </v>
          </cell>
          <cell r="D56" t="str">
            <v>ENR</v>
          </cell>
          <cell r="E56" t="str">
            <v>ENR - Enrollador</v>
          </cell>
        </row>
        <row r="57">
          <cell r="B57">
            <v>389</v>
          </cell>
          <cell r="C57" t="str">
            <v>LUIS ENRIQUE CASTELÁN JIMÉNEZ</v>
          </cell>
          <cell r="D57" t="str">
            <v>TGA</v>
          </cell>
          <cell r="E57" t="str">
            <v>TGA - Técnico en Mantenimiento General A</v>
          </cell>
        </row>
        <row r="58">
          <cell r="B58">
            <v>397</v>
          </cell>
          <cell r="C58" t="str">
            <v>JONATHAN URIEL MORALES MARTÍNEZ</v>
          </cell>
          <cell r="D58" t="str">
            <v>OEX</v>
          </cell>
          <cell r="E58" t="str">
            <v>OEX - Operador de Extrusión</v>
          </cell>
        </row>
        <row r="59">
          <cell r="B59">
            <v>428</v>
          </cell>
          <cell r="C59" t="str">
            <v>LORENZO ANTONIO RAMÍREZ QUINTANA</v>
          </cell>
          <cell r="D59" t="str">
            <v>AXE</v>
          </cell>
          <cell r="E59" t="str">
            <v>AXE - Auxiliar de Extrusión</v>
          </cell>
        </row>
        <row r="60">
          <cell r="B60">
            <v>435</v>
          </cell>
          <cell r="C60" t="str">
            <v>CARLOS MANUEL FRAGOSO ROJAS</v>
          </cell>
          <cell r="D60" t="str">
            <v>OEX</v>
          </cell>
          <cell r="E60" t="str">
            <v>OEX - Operador de Extrusión</v>
          </cell>
        </row>
        <row r="61">
          <cell r="B61">
            <v>468</v>
          </cell>
          <cell r="C61" t="str">
            <v>MOISÉS VERGARA MÁRQUEZ</v>
          </cell>
          <cell r="D61" t="str">
            <v>MOL</v>
          </cell>
          <cell r="E61" t="str">
            <v>MOL - Molinero</v>
          </cell>
        </row>
        <row r="62">
          <cell r="B62">
            <v>471</v>
          </cell>
          <cell r="C62" t="str">
            <v>ISRAEL LIRA CAMPOS</v>
          </cell>
          <cell r="D62" t="str">
            <v>AXE</v>
          </cell>
          <cell r="E62" t="str">
            <v>AXE - Auxiliar de Extrusión</v>
          </cell>
        </row>
        <row r="63">
          <cell r="B63">
            <v>498</v>
          </cell>
          <cell r="C63" t="str">
            <v xml:space="preserve">FRANCISCO JAVIER CARO MENDOZA </v>
          </cell>
          <cell r="D63" t="str">
            <v>TMG</v>
          </cell>
          <cell r="E63" t="str">
            <v>TMG - Técnico en Mantenimiento General (Construcción)</v>
          </cell>
        </row>
        <row r="64">
          <cell r="B64">
            <v>506</v>
          </cell>
          <cell r="C64" t="str">
            <v>MARTÍN CRUZ CAMACHO</v>
          </cell>
          <cell r="D64" t="str">
            <v>OEX</v>
          </cell>
          <cell r="E64" t="str">
            <v>OEX - Operador de Extrusión</v>
          </cell>
        </row>
        <row r="65">
          <cell r="B65">
            <v>509</v>
          </cell>
          <cell r="C65" t="str">
            <v>BERNARDO ORDÓÑEZ VERA</v>
          </cell>
          <cell r="D65" t="str">
            <v>AXE</v>
          </cell>
          <cell r="E65" t="str">
            <v>AXE - Auxiliar de Extrusión</v>
          </cell>
        </row>
        <row r="66">
          <cell r="B66">
            <v>515</v>
          </cell>
          <cell r="C66" t="str">
            <v>MIGUEL ÁNGEL VILLEGAS AJAL</v>
          </cell>
          <cell r="D66" t="str">
            <v>AXE</v>
          </cell>
          <cell r="E66" t="str">
            <v>AXE - Auxiliar de Extrusión</v>
          </cell>
        </row>
        <row r="67">
          <cell r="B67">
            <v>534</v>
          </cell>
          <cell r="C67" t="str">
            <v>ISHWARI MONTER HERNÁNDEZ</v>
          </cell>
          <cell r="D67" t="str">
            <v>ENR</v>
          </cell>
          <cell r="E67" t="str">
            <v>ENR - Enrollador</v>
          </cell>
        </row>
        <row r="68">
          <cell r="B68">
            <v>535</v>
          </cell>
          <cell r="C68" t="str">
            <v>KARINA GAYOSSO SUÁREZ</v>
          </cell>
          <cell r="D68" t="str">
            <v>SPE</v>
          </cell>
          <cell r="E68" t="str">
            <v>SPE - Planificador de la Producción y Supervisor de Almacén de Producto Terminado y Entregas</v>
          </cell>
        </row>
        <row r="69">
          <cell r="B69">
            <v>537</v>
          </cell>
          <cell r="C69" t="str">
            <v xml:space="preserve">JOSÉ ALBERTO RUIZ ISLAS </v>
          </cell>
          <cell r="D69" t="str">
            <v>AXE</v>
          </cell>
          <cell r="E69" t="str">
            <v>AXE - Auxiliar de Extrusión</v>
          </cell>
        </row>
        <row r="70">
          <cell r="B70">
            <v>541</v>
          </cell>
          <cell r="C70" t="str">
            <v>VALERIA GARCÍA BRIONES</v>
          </cell>
          <cell r="D70" t="str">
            <v>ASG</v>
          </cell>
          <cell r="E70" t="str">
            <v>ASG - Administrador del SGC y Mejora Continua</v>
          </cell>
        </row>
        <row r="71">
          <cell r="B71">
            <v>544</v>
          </cell>
          <cell r="C71" t="str">
            <v>ROBERTO CARLOS ALVAREZ CORTÉS</v>
          </cell>
          <cell r="D71" t="str">
            <v>AMA</v>
          </cell>
          <cell r="E71" t="str">
            <v>AMA - Almacenista de Materiales Auxiliares</v>
          </cell>
        </row>
        <row r="72">
          <cell r="B72">
            <v>552</v>
          </cell>
          <cell r="C72" t="str">
            <v>DANIEL CAYETANO ESPITIA</v>
          </cell>
          <cell r="D72" t="str">
            <v>OEX</v>
          </cell>
          <cell r="E72" t="str">
            <v>OEX - Operador de Extrusión</v>
          </cell>
        </row>
        <row r="73">
          <cell r="B73">
            <v>600</v>
          </cell>
          <cell r="C73" t="str">
            <v>PABLO HERNÁNDEZ HERNÁNDEZ</v>
          </cell>
          <cell r="D73" t="str">
            <v>MOL</v>
          </cell>
          <cell r="E73" t="str">
            <v>MOL - Molinero</v>
          </cell>
        </row>
        <row r="74">
          <cell r="B74">
            <v>607</v>
          </cell>
          <cell r="C74" t="str">
            <v>JORGE JAZIEL CHAVEZ MERCADO</v>
          </cell>
          <cell r="D74" t="str">
            <v>AXE</v>
          </cell>
          <cell r="E74" t="str">
            <v>AXE - Auxiliar de Extrusión</v>
          </cell>
        </row>
        <row r="75">
          <cell r="B75">
            <v>611</v>
          </cell>
          <cell r="C75" t="str">
            <v>ANUAR DE JESÚS ROMERO GARCÍA</v>
          </cell>
          <cell r="D75" t="str">
            <v>APT</v>
          </cell>
          <cell r="E75" t="str">
            <v>APT - Almacenista de Producto Terminado</v>
          </cell>
        </row>
        <row r="76">
          <cell r="B76">
            <v>626</v>
          </cell>
          <cell r="C76" t="str">
            <v>ÓSCAR SANDOVAL MALDONADO</v>
          </cell>
          <cell r="D76" t="str">
            <v>AXE</v>
          </cell>
          <cell r="E76" t="str">
            <v>AXE - Auxiliar de Extrusión</v>
          </cell>
        </row>
        <row r="77">
          <cell r="B77">
            <v>647</v>
          </cell>
          <cell r="C77" t="str">
            <v>PEDRO ENRIQUE MORENO RUIZ</v>
          </cell>
          <cell r="D77" t="str">
            <v>TME</v>
          </cell>
          <cell r="E77" t="str">
            <v>TME - Técnico en Mantenimiento Eléctrico</v>
          </cell>
        </row>
        <row r="78">
          <cell r="B78">
            <v>650</v>
          </cell>
          <cell r="C78" t="str">
            <v>JUAN DANIEL MENDOZA GARCÍA</v>
          </cell>
          <cell r="D78" t="str">
            <v>ENR</v>
          </cell>
          <cell r="E78" t="str">
            <v>ENR - Enrollador</v>
          </cell>
        </row>
        <row r="79">
          <cell r="B79">
            <v>657</v>
          </cell>
          <cell r="C79" t="str">
            <v>BRYAM ALBERTO MANZUR MIMILA</v>
          </cell>
          <cell r="D79" t="str">
            <v>STU</v>
          </cell>
          <cell r="E79" t="str">
            <v>STU - Supervisor de Turno</v>
          </cell>
        </row>
        <row r="80">
          <cell r="B80">
            <v>658</v>
          </cell>
          <cell r="C80" t="str">
            <v>IVETH ANAHÍ BALTAZAR LÓPEZ</v>
          </cell>
          <cell r="D80" t="str">
            <v>ANN</v>
          </cell>
          <cell r="E80" t="str">
            <v>ANN - Analista de Nómina</v>
          </cell>
        </row>
        <row r="81">
          <cell r="B81">
            <v>660</v>
          </cell>
          <cell r="C81" t="str">
            <v xml:space="preserve">GRACIELA ÁNGELES TOLENTINO </v>
          </cell>
          <cell r="D81" t="str">
            <v>PLI</v>
          </cell>
          <cell r="E81" t="str">
            <v>PLI - Personal de Limpieza</v>
          </cell>
        </row>
        <row r="82">
          <cell r="B82">
            <v>661</v>
          </cell>
          <cell r="C82" t="str">
            <v>ALEXXA MUÑOZ ORTEGA</v>
          </cell>
          <cell r="D82" t="str">
            <v>APE</v>
          </cell>
          <cell r="E82" t="str">
            <v>APE - Auxiliar de Pelletizado</v>
          </cell>
        </row>
        <row r="83">
          <cell r="B83">
            <v>684</v>
          </cell>
          <cell r="C83" t="str">
            <v>ESTANISLAO LAZCANO CASTELÁN</v>
          </cell>
          <cell r="D83" t="str">
            <v>MOL</v>
          </cell>
          <cell r="E83" t="str">
            <v>MOL - Molinero</v>
          </cell>
        </row>
        <row r="84">
          <cell r="B84">
            <v>700</v>
          </cell>
          <cell r="C84" t="str">
            <v xml:space="preserve">VALENTÍN OCAMPO VELÁZQUEZ </v>
          </cell>
          <cell r="D84" t="str">
            <v>MOL</v>
          </cell>
          <cell r="E84" t="str">
            <v>MOL - Molinero</v>
          </cell>
        </row>
        <row r="85">
          <cell r="B85">
            <v>735</v>
          </cell>
          <cell r="C85" t="str">
            <v>BRENDA GONZAGA HERNÁNDEZ</v>
          </cell>
          <cell r="D85" t="str">
            <v>ENR</v>
          </cell>
          <cell r="E85" t="str">
            <v>ENR - Enrollador</v>
          </cell>
        </row>
        <row r="86">
          <cell r="B86">
            <v>736</v>
          </cell>
          <cell r="C86" t="str">
            <v>JESÚS ADOLFO OCAMPO GARCÍA</v>
          </cell>
          <cell r="D86" t="str">
            <v>SMT</v>
          </cell>
          <cell r="E86" t="str">
            <v>SMT - Supervisor de Mantenimiento</v>
          </cell>
        </row>
        <row r="87">
          <cell r="B87">
            <v>743</v>
          </cell>
          <cell r="C87" t="str">
            <v xml:space="preserve">ALEXIS ROJAS MUÑOZ </v>
          </cell>
          <cell r="D87" t="str">
            <v>APE</v>
          </cell>
          <cell r="E87" t="str">
            <v>APE - Auxiliar de Pelletizado</v>
          </cell>
        </row>
        <row r="88">
          <cell r="B88">
            <v>752</v>
          </cell>
          <cell r="C88" t="str">
            <v>MANUEL ÁNGEL BECERRA CASTELÁN</v>
          </cell>
          <cell r="D88" t="str">
            <v>ENR</v>
          </cell>
          <cell r="E88" t="str">
            <v>ENR - Enrollador</v>
          </cell>
        </row>
        <row r="89">
          <cell r="B89">
            <v>760</v>
          </cell>
          <cell r="C89" t="str">
            <v>ESDRAS JAIMES RODRÍGUEZ</v>
          </cell>
          <cell r="D89" t="str">
            <v>AMA</v>
          </cell>
          <cell r="E89" t="str">
            <v>AMA - Almacenista de Materiales Auxiliares</v>
          </cell>
        </row>
        <row r="90">
          <cell r="B90">
            <v>767</v>
          </cell>
          <cell r="C90" t="str">
            <v>CÉSAR EDUARDO ESPINOSA BENGOA</v>
          </cell>
          <cell r="D90" t="str">
            <v>REN</v>
          </cell>
          <cell r="E90" t="str">
            <v>REN - Responsable de Enrollado</v>
          </cell>
        </row>
        <row r="91">
          <cell r="B91">
            <v>772</v>
          </cell>
          <cell r="C91" t="str">
            <v>CRISTOFER JONATHAN ORTIZ ENCISO</v>
          </cell>
          <cell r="D91" t="str">
            <v>APT</v>
          </cell>
          <cell r="E91" t="str">
            <v>APT - Almacenista de Producto Terminado</v>
          </cell>
        </row>
        <row r="92">
          <cell r="B92">
            <v>775</v>
          </cell>
          <cell r="C92" t="str">
            <v>JOSUÉ NICASIO FLORES JIMÉNEZ</v>
          </cell>
          <cell r="D92" t="str">
            <v>TGA</v>
          </cell>
          <cell r="E92" t="str">
            <v>TGA - Técnico en Mantenimiento General A</v>
          </cell>
        </row>
        <row r="93">
          <cell r="B93">
            <v>788</v>
          </cell>
          <cell r="C93" t="str">
            <v>BRENDA SELENE ISLAS BONILLA</v>
          </cell>
          <cell r="D93" t="str">
            <v>ENR</v>
          </cell>
          <cell r="E93" t="str">
            <v>ENR - Enrollador</v>
          </cell>
        </row>
        <row r="94">
          <cell r="B94">
            <v>790</v>
          </cell>
          <cell r="C94" t="str">
            <v>ALICIA ROMERO ARREOLA</v>
          </cell>
          <cell r="D94" t="str">
            <v>ENR</v>
          </cell>
          <cell r="E94" t="str">
            <v>ENR - Enrollador</v>
          </cell>
        </row>
        <row r="95">
          <cell r="B95">
            <v>800</v>
          </cell>
          <cell r="C95" t="str">
            <v>MARCOS MADRID FERNÁNDEZ</v>
          </cell>
          <cell r="D95" t="str">
            <v>AMP</v>
          </cell>
          <cell r="E95" t="str">
            <v>AMP - Almacenista de Materia Prima</v>
          </cell>
        </row>
        <row r="96">
          <cell r="B96">
            <v>801</v>
          </cell>
          <cell r="C96" t="str">
            <v>ERICK DANIEL ISLAS RIVERA</v>
          </cell>
          <cell r="D96" t="str">
            <v>TMM</v>
          </cell>
          <cell r="E96" t="str">
            <v>TMM - Técnico en Mantenimiento Mecánico</v>
          </cell>
        </row>
        <row r="97">
          <cell r="B97">
            <v>810</v>
          </cell>
          <cell r="C97" t="str">
            <v>OMAR GARCÍA CALDERÓN</v>
          </cell>
          <cell r="D97" t="str">
            <v>TME</v>
          </cell>
          <cell r="E97" t="str">
            <v>TME - Técnico en Mantenimiento Eléctrico</v>
          </cell>
        </row>
        <row r="98">
          <cell r="B98">
            <v>833</v>
          </cell>
          <cell r="C98" t="str">
            <v>JONATHAN ARNOLD BRIONES GONZÁLEZ</v>
          </cell>
          <cell r="D98" t="str">
            <v>OEX</v>
          </cell>
          <cell r="E98" t="str">
            <v>OEX - Operador de Extrusión</v>
          </cell>
        </row>
        <row r="99">
          <cell r="B99">
            <v>843</v>
          </cell>
          <cell r="C99" t="str">
            <v>JULIO CÉSAR MONTES CHÁVEZ</v>
          </cell>
          <cell r="D99" t="str">
            <v>CMP</v>
          </cell>
          <cell r="E99" t="str">
            <v>CMP - Comprador y Supervisor de Almacén de Materia Prima y Reproceso de Materiales</v>
          </cell>
        </row>
        <row r="100">
          <cell r="B100">
            <v>846</v>
          </cell>
          <cell r="C100" t="str">
            <v>DAVID MARÍN MUÑOZ</v>
          </cell>
          <cell r="D100" t="str">
            <v>ENR</v>
          </cell>
          <cell r="E100" t="str">
            <v>ENR - Enrollador</v>
          </cell>
        </row>
        <row r="101">
          <cell r="B101">
            <v>853</v>
          </cell>
          <cell r="C101" t="str">
            <v>ALFREDO MARTÍNEZ GARCÍA</v>
          </cell>
          <cell r="D101" t="str">
            <v>CHA</v>
          </cell>
          <cell r="E101" t="str">
            <v>CHA - Chófer A</v>
          </cell>
        </row>
        <row r="102">
          <cell r="B102">
            <v>875</v>
          </cell>
          <cell r="C102" t="str">
            <v>GUSTAVO ADOLFO CASTELÁN SÁNCHEZ</v>
          </cell>
          <cell r="D102" t="str">
            <v>AMP</v>
          </cell>
          <cell r="E102" t="str">
            <v>AMP - Almacenista de Materia Prima</v>
          </cell>
        </row>
        <row r="103">
          <cell r="B103">
            <v>890</v>
          </cell>
          <cell r="C103" t="str">
            <v>JOSÉ EFRAÍN DIEGO ISLAS</v>
          </cell>
          <cell r="D103" t="str">
            <v>AXE</v>
          </cell>
          <cell r="E103" t="str">
            <v>AXE - Auxiliar de Extrusión</v>
          </cell>
        </row>
        <row r="104">
          <cell r="B104">
            <v>906</v>
          </cell>
          <cell r="C104" t="str">
            <v>DANIEL PÉREZ GUZMÁN</v>
          </cell>
          <cell r="D104" t="str">
            <v>AMA</v>
          </cell>
          <cell r="E104" t="str">
            <v>AMA - Almacenista de Materiales Auxiliares</v>
          </cell>
        </row>
        <row r="105">
          <cell r="B105">
            <v>909</v>
          </cell>
          <cell r="C105" t="str">
            <v>ROSA AIDE CASTRO LÓPEZ</v>
          </cell>
          <cell r="D105" t="str">
            <v>APE</v>
          </cell>
          <cell r="E105" t="str">
            <v>APE - Auxiliar de Pelletizado</v>
          </cell>
        </row>
        <row r="106">
          <cell r="B106">
            <v>920</v>
          </cell>
          <cell r="C106" t="str">
            <v>ÓSCAR BRANDON GUTIÉRREZ DEL HOYO</v>
          </cell>
          <cell r="D106" t="str">
            <v>TMH</v>
          </cell>
          <cell r="E106" t="str">
            <v>TMH - Técnico en Mantenimiento de Herramentales</v>
          </cell>
        </row>
        <row r="107">
          <cell r="B107">
            <v>927</v>
          </cell>
          <cell r="C107" t="str">
            <v>EDUARDO TORRES PACHECO</v>
          </cell>
          <cell r="D107" t="str">
            <v>AXE</v>
          </cell>
          <cell r="E107" t="str">
            <v>AXE - Auxiliar de Extrusión</v>
          </cell>
        </row>
        <row r="108">
          <cell r="B108">
            <v>934</v>
          </cell>
          <cell r="C108" t="str">
            <v>JOSUÉ CARBAJAL ORTIZ</v>
          </cell>
          <cell r="D108" t="str">
            <v>ENR</v>
          </cell>
          <cell r="E108" t="str">
            <v>ENR - Enrollador</v>
          </cell>
        </row>
        <row r="109">
          <cell r="B109">
            <v>938</v>
          </cell>
          <cell r="C109" t="str">
            <v>RAÚL HONORIO HERNÁNDEZ GARRIDO</v>
          </cell>
          <cell r="D109" t="str">
            <v>APT</v>
          </cell>
          <cell r="E109" t="str">
            <v>APT - Almacenista de Producto Terminado</v>
          </cell>
        </row>
        <row r="110">
          <cell r="B110">
            <v>939</v>
          </cell>
          <cell r="C110" t="str">
            <v xml:space="preserve">JAQUELINE SOTO GARCÍA </v>
          </cell>
          <cell r="D110" t="str">
            <v>APE</v>
          </cell>
          <cell r="E110" t="str">
            <v>APE - Auxiliar de Pelletizado</v>
          </cell>
        </row>
        <row r="111">
          <cell r="B111">
            <v>942</v>
          </cell>
          <cell r="C111" t="str">
            <v>JOSUÉ VARGAS TREJO</v>
          </cell>
          <cell r="D111" t="str">
            <v>CHC</v>
          </cell>
          <cell r="E111" t="str">
            <v>CHC - Chófer C</v>
          </cell>
        </row>
        <row r="112">
          <cell r="B112">
            <v>951</v>
          </cell>
          <cell r="C112" t="str">
            <v>PABLO ROBERTO ABAD AGUILAR</v>
          </cell>
          <cell r="D112" t="str">
            <v>ENR</v>
          </cell>
          <cell r="E112" t="str">
            <v>ENR - Enrollador</v>
          </cell>
        </row>
        <row r="113">
          <cell r="B113">
            <v>970</v>
          </cell>
          <cell r="C113" t="str">
            <v>SERGIO ALBERTO ROMERO LOZADA</v>
          </cell>
          <cell r="D113" t="str">
            <v>AAT</v>
          </cell>
          <cell r="E113" t="str">
            <v>AAT - Auxiliar de Almacén de Producto Terminado</v>
          </cell>
        </row>
        <row r="114">
          <cell r="B114">
            <v>977</v>
          </cell>
          <cell r="C114" t="str">
            <v>SERGIO ALEJANDRO GARRIDO LIRA</v>
          </cell>
          <cell r="D114" t="str">
            <v>AAT</v>
          </cell>
          <cell r="E114" t="str">
            <v>AAT - Auxiliar de Almacén de Producto Terminado</v>
          </cell>
        </row>
        <row r="115">
          <cell r="B115">
            <v>983</v>
          </cell>
          <cell r="C115" t="str">
            <v>JOSÉ LUIS RAÚL OLVERA MONTIEL</v>
          </cell>
          <cell r="D115" t="str">
            <v>ENR</v>
          </cell>
          <cell r="E115" t="str">
            <v>ENR - Enrollador</v>
          </cell>
        </row>
        <row r="116">
          <cell r="B116">
            <v>991</v>
          </cell>
          <cell r="C116" t="str">
            <v>ARMANDO RODRÍGUEZ MARTÍNEZ</v>
          </cell>
          <cell r="D116" t="str">
            <v>CHB</v>
          </cell>
          <cell r="E116" t="str">
            <v>CHB - Chófer B</v>
          </cell>
        </row>
        <row r="117">
          <cell r="B117">
            <v>1009</v>
          </cell>
          <cell r="C117" t="str">
            <v>NOEMÍ CLEMENTE ZIZALDRA</v>
          </cell>
          <cell r="D117" t="str">
            <v>CMA</v>
          </cell>
          <cell r="E117" t="str">
            <v>CMA - Comprador y Supervisor de Almacén de Materiales Auxiliares</v>
          </cell>
        </row>
        <row r="118">
          <cell r="B118">
            <v>1010</v>
          </cell>
          <cell r="C118" t="str">
            <v>ENRIQUE MEJÍA GÓMEZ</v>
          </cell>
          <cell r="D118" t="str">
            <v>ENR</v>
          </cell>
          <cell r="E118" t="str">
            <v>ENR - Enrollador</v>
          </cell>
        </row>
        <row r="119">
          <cell r="B119">
            <v>1019</v>
          </cell>
          <cell r="C119" t="str">
            <v>ERIK ALVARADO ROSALES</v>
          </cell>
          <cell r="D119" t="str">
            <v>MOL</v>
          </cell>
          <cell r="E119" t="str">
            <v>MOL - Molinero</v>
          </cell>
        </row>
        <row r="120">
          <cell r="B120">
            <v>1035</v>
          </cell>
          <cell r="C120" t="str">
            <v>JOSÉ EFRAÍN CASTILLO RAMÍREZ</v>
          </cell>
          <cell r="D120" t="str">
            <v>GPR</v>
          </cell>
          <cell r="E120" t="str">
            <v>GPR - Gerente de Producción</v>
          </cell>
        </row>
        <row r="121">
          <cell r="B121">
            <v>1036</v>
          </cell>
          <cell r="C121" t="str">
            <v>LAURA SOSA CERÓN</v>
          </cell>
          <cell r="D121" t="str">
            <v>ENR</v>
          </cell>
          <cell r="E121" t="str">
            <v>ENR - Enrollador</v>
          </cell>
        </row>
        <row r="122">
          <cell r="B122">
            <v>1040</v>
          </cell>
          <cell r="C122" t="str">
            <v>ALAN ISLAS RODRÍGUEZ</v>
          </cell>
          <cell r="D122" t="str">
            <v>DJR</v>
          </cell>
          <cell r="E122" t="str">
            <v>DJR - Diseñador Jr</v>
          </cell>
        </row>
        <row r="123">
          <cell r="B123">
            <v>1047</v>
          </cell>
          <cell r="C123" t="str">
            <v>IRENE BAÑOS ÁNGELES</v>
          </cell>
          <cell r="D123" t="str">
            <v>ENR</v>
          </cell>
          <cell r="E123" t="str">
            <v>ENR - Enrollador</v>
          </cell>
        </row>
        <row r="124">
          <cell r="B124">
            <v>1054</v>
          </cell>
          <cell r="C124" t="str">
            <v>JANET VARGAS SERENO</v>
          </cell>
          <cell r="D124" t="str">
            <v>APE</v>
          </cell>
          <cell r="E124" t="str">
            <v>APE - Auxiliar de Pelletizado</v>
          </cell>
        </row>
        <row r="125">
          <cell r="B125">
            <v>1061</v>
          </cell>
          <cell r="C125" t="str">
            <v>FLOR IBETH CORTEZ PONCIANO</v>
          </cell>
          <cell r="D125" t="str">
            <v>ENR</v>
          </cell>
          <cell r="E125" t="str">
            <v>ENR - Enrollador</v>
          </cell>
        </row>
        <row r="126">
          <cell r="B126">
            <v>1064</v>
          </cell>
          <cell r="C126" t="str">
            <v>LUIS FERNANDO AMADOR ORTIZ</v>
          </cell>
          <cell r="D126" t="str">
            <v>ENR</v>
          </cell>
          <cell r="E126" t="str">
            <v>ENR - Enrollador</v>
          </cell>
        </row>
        <row r="127">
          <cell r="B127">
            <v>1066</v>
          </cell>
          <cell r="C127" t="str">
            <v>FRANCISCO ALBERTO ZAMBRANO GARRIDO</v>
          </cell>
          <cell r="D127" t="str">
            <v>APE</v>
          </cell>
          <cell r="E127" t="str">
            <v>APE - Auxiliar de Pelletizado</v>
          </cell>
        </row>
        <row r="128">
          <cell r="B128">
            <v>1068</v>
          </cell>
          <cell r="C128" t="str">
            <v>MIGUEL ÁNGEL CASTILLO GUEVARA</v>
          </cell>
          <cell r="D128" t="str">
            <v>APE</v>
          </cell>
          <cell r="E128" t="str">
            <v>APE - Auxiliar de Pelletizado</v>
          </cell>
        </row>
        <row r="129">
          <cell r="B129">
            <v>1081</v>
          </cell>
          <cell r="C129" t="str">
            <v>NELY PAOLA ÁNGELES TOLENTINO</v>
          </cell>
          <cell r="D129" t="str">
            <v>PLI</v>
          </cell>
          <cell r="E129" t="str">
            <v>PLI - Personal de Limpieza</v>
          </cell>
        </row>
        <row r="130">
          <cell r="B130">
            <v>1090</v>
          </cell>
          <cell r="C130" t="str">
            <v>GRISELDA PÉREZ VARGAS</v>
          </cell>
          <cell r="D130" t="str">
            <v>PRT</v>
          </cell>
          <cell r="E130" t="str">
            <v>PRT - Practicante Temporal</v>
          </cell>
        </row>
        <row r="131">
          <cell r="B131">
            <v>1094</v>
          </cell>
          <cell r="C131" t="str">
            <v>KEVIN URIEL HERNÁNDEZ RODRÍGUEZ</v>
          </cell>
          <cell r="D131" t="str">
            <v>ENR</v>
          </cell>
          <cell r="E131" t="str">
            <v>ENR - Enrollador</v>
          </cell>
        </row>
        <row r="132">
          <cell r="B132">
            <v>1095</v>
          </cell>
          <cell r="C132" t="str">
            <v>RODRIGO RAMÍREZ PACHECO</v>
          </cell>
          <cell r="D132" t="str">
            <v>ENR</v>
          </cell>
          <cell r="E132" t="str">
            <v>ENR - Enrollador</v>
          </cell>
        </row>
        <row r="133">
          <cell r="B133">
            <v>1099</v>
          </cell>
          <cell r="C133" t="str">
            <v xml:space="preserve">DANIEL PACHECO GONZÁLEZ </v>
          </cell>
          <cell r="D133" t="str">
            <v>APE</v>
          </cell>
          <cell r="E133" t="str">
            <v>APE - Auxiliar de Pelletizado</v>
          </cell>
        </row>
        <row r="134">
          <cell r="B134">
            <v>1104</v>
          </cell>
          <cell r="C134" t="str">
            <v>EDGAR GEOVANNY ESQUIVEL CALIXTO</v>
          </cell>
          <cell r="D134" t="str">
            <v>ENR</v>
          </cell>
          <cell r="E134" t="str">
            <v>ENR - Enrollador</v>
          </cell>
        </row>
        <row r="135">
          <cell r="B135">
            <v>1108</v>
          </cell>
          <cell r="C135" t="str">
            <v>SARAHÍ MIMILA HERRERA</v>
          </cell>
          <cell r="D135" t="str">
            <v>ASS</v>
          </cell>
          <cell r="E135" t="str">
            <v>ASS - Analista de Seguridad y Salud</v>
          </cell>
        </row>
        <row r="136">
          <cell r="B136">
            <v>1114</v>
          </cell>
          <cell r="C136" t="str">
            <v>ADOLFO VAZQUEZ SOTO</v>
          </cell>
          <cell r="D136" t="str">
            <v>MOL</v>
          </cell>
          <cell r="E136" t="str">
            <v>MOL - Molinero</v>
          </cell>
        </row>
        <row r="137">
          <cell r="B137">
            <v>1118</v>
          </cell>
          <cell r="C137" t="str">
            <v>SAMUEL LÓPEZ SOTO</v>
          </cell>
          <cell r="D137" t="str">
            <v>AMR</v>
          </cell>
          <cell r="E137" t="str">
            <v>AMR - Auxiliar de Materia Prima y Reproceso de Materiales</v>
          </cell>
        </row>
        <row r="138">
          <cell r="B138">
            <v>1122</v>
          </cell>
          <cell r="C138" t="str">
            <v>HADRIEL RAMOS HERNANDEZ</v>
          </cell>
          <cell r="D138" t="str">
            <v>AAC</v>
          </cell>
          <cell r="E138" t="str">
            <v>AAC - Auxiliar de Calidad</v>
          </cell>
        </row>
        <row r="139">
          <cell r="B139">
            <v>1123</v>
          </cell>
          <cell r="C139" t="str">
            <v>SHEYNA MICHELLE DELGADILLO OLVERA</v>
          </cell>
          <cell r="D139" t="str">
            <v>ACD</v>
          </cell>
          <cell r="E139" t="str">
            <v>ACD - Analista de Capacitación y Desarrollo de Talento</v>
          </cell>
        </row>
        <row r="140">
          <cell r="B140">
            <v>1125</v>
          </cell>
          <cell r="C140" t="str">
            <v>ULISES JUÁREZ ALCANTARILLA</v>
          </cell>
          <cell r="D140" t="str">
            <v>AAT</v>
          </cell>
          <cell r="E140" t="str">
            <v>AAT - Auxiliar de Almacén de Producto Terminado</v>
          </cell>
        </row>
        <row r="141">
          <cell r="B141">
            <v>1126</v>
          </cell>
          <cell r="C141" t="str">
            <v>DANAE FLORES ÁNGELES</v>
          </cell>
          <cell r="D141" t="str">
            <v>AAD</v>
          </cell>
          <cell r="E141" t="str">
            <v>AAD - Auxiliar de Administración</v>
          </cell>
        </row>
        <row r="142">
          <cell r="B142">
            <v>1127</v>
          </cell>
          <cell r="C142" t="str">
            <v xml:space="preserve">MIGUEL ALBERTO REYES LÓPEZ </v>
          </cell>
          <cell r="D142" t="str">
            <v>MOL</v>
          </cell>
          <cell r="E142" t="str">
            <v>MOL - Molinero</v>
          </cell>
        </row>
        <row r="143">
          <cell r="B143">
            <v>1134</v>
          </cell>
          <cell r="C143" t="str">
            <v>AXEL ORTIZ ROMERO</v>
          </cell>
          <cell r="D143" t="str">
            <v>AAM</v>
          </cell>
          <cell r="E143" t="str">
            <v>AAM - Auxiliar de Almacén de Materia Prima</v>
          </cell>
        </row>
        <row r="144">
          <cell r="B144">
            <v>1138</v>
          </cell>
          <cell r="C144" t="str">
            <v>ANTONIO ZAMBRANO ROSALES</v>
          </cell>
          <cell r="D144" t="str">
            <v>ENR</v>
          </cell>
          <cell r="E144" t="str">
            <v>ENR - Enrollador</v>
          </cell>
        </row>
        <row r="145">
          <cell r="B145">
            <v>1143</v>
          </cell>
          <cell r="C145" t="str">
            <v>EDGARDO ASSAEL QUIRINO SEVILLA</v>
          </cell>
          <cell r="D145" t="str">
            <v>ENR</v>
          </cell>
          <cell r="E145" t="str">
            <v>ENR - Enrollador</v>
          </cell>
        </row>
        <row r="146">
          <cell r="B146">
            <v>1144</v>
          </cell>
          <cell r="C146" t="str">
            <v>ERICK JESÚS ISLAS MANRRÍQUEZ</v>
          </cell>
          <cell r="D146" t="str">
            <v>ENR</v>
          </cell>
          <cell r="E146" t="str">
            <v>ENR - Enrollador</v>
          </cell>
        </row>
        <row r="147">
          <cell r="B147">
            <v>1153</v>
          </cell>
          <cell r="C147" t="str">
            <v>URIEL LIRA RIVAS</v>
          </cell>
          <cell r="D147" t="str">
            <v>ACA</v>
          </cell>
          <cell r="E147" t="str">
            <v>ACA - Auditor de Calidad - Proceso</v>
          </cell>
        </row>
        <row r="148">
          <cell r="B148">
            <v>1155</v>
          </cell>
          <cell r="C148" t="str">
            <v>IRAZEMA MARTÍNEZ BECERRA</v>
          </cell>
          <cell r="D148" t="str">
            <v>ENR</v>
          </cell>
          <cell r="E148" t="str">
            <v>ENR - Enrollador</v>
          </cell>
        </row>
        <row r="149">
          <cell r="B149">
            <v>1157</v>
          </cell>
          <cell r="C149" t="str">
            <v>JORGE CLEMENTE ZIZALDRA</v>
          </cell>
          <cell r="D149" t="str">
            <v>AAT</v>
          </cell>
          <cell r="E149" t="str">
            <v>AAT - Auxiliar de Almacén de Producto Terminado</v>
          </cell>
        </row>
        <row r="150">
          <cell r="B150">
            <v>1158</v>
          </cell>
          <cell r="C150" t="str">
            <v>MARÍA FERNANDA MARTÍNEZ ARREGUÍN</v>
          </cell>
          <cell r="D150" t="str">
            <v>PRT</v>
          </cell>
          <cell r="E150" t="str">
            <v>PRT - Practicante Temporal</v>
          </cell>
        </row>
        <row r="151">
          <cell r="B151">
            <v>1159</v>
          </cell>
          <cell r="C151" t="str">
            <v>JOAQUÍN LAZCANO LECHUGA</v>
          </cell>
          <cell r="D151" t="str">
            <v>TMH</v>
          </cell>
          <cell r="E151" t="str">
            <v>TMH - Técnico en Mantenimiento de Herramentales</v>
          </cell>
        </row>
        <row r="152">
          <cell r="B152">
            <v>1162</v>
          </cell>
          <cell r="C152" t="str">
            <v>EDUARDO CABRERA VITE</v>
          </cell>
          <cell r="D152" t="str">
            <v>IPR</v>
          </cell>
          <cell r="E152" t="str">
            <v>IPR - Ingeniero de Procesos</v>
          </cell>
        </row>
        <row r="153">
          <cell r="B153">
            <v>1163</v>
          </cell>
          <cell r="C153" t="str">
            <v>DAVID CRUZ RODRÍGUEZ</v>
          </cell>
          <cell r="D153" t="str">
            <v>EMP</v>
          </cell>
          <cell r="E153" t="str">
            <v>EMP - Empacador</v>
          </cell>
        </row>
        <row r="154">
          <cell r="B154">
            <v>1164</v>
          </cell>
          <cell r="C154" t="str">
            <v>ITZEL DIMAS ARREOLA</v>
          </cell>
          <cell r="D154" t="str">
            <v>ARH</v>
          </cell>
          <cell r="E154" t="str">
            <v>ARH - Analista de Recursos Humanos</v>
          </cell>
        </row>
        <row r="155">
          <cell r="B155">
            <v>1165</v>
          </cell>
          <cell r="C155" t="str">
            <v>BRUNO ANTONIO GARCÍA BOTELLO</v>
          </cell>
          <cell r="D155" t="str">
            <v>TME</v>
          </cell>
          <cell r="E155" t="str">
            <v>TME - Técnico en Mantenimiento Eléctrico</v>
          </cell>
        </row>
        <row r="156">
          <cell r="B156">
            <v>1166</v>
          </cell>
          <cell r="C156" t="str">
            <v>ÁNGEL YAIR ROSAS GUTIERREZ</v>
          </cell>
          <cell r="D156" t="str">
            <v>ENR</v>
          </cell>
          <cell r="E156" t="str">
            <v>ENR - Enrollador</v>
          </cell>
        </row>
        <row r="157">
          <cell r="B157">
            <v>1167</v>
          </cell>
          <cell r="C157" t="str">
            <v>ANDONI YAMIR FLORES ROCHA</v>
          </cell>
          <cell r="D157" t="str">
            <v>ENR</v>
          </cell>
          <cell r="E157" t="str">
            <v>ENR - Enrollador</v>
          </cell>
        </row>
        <row r="158">
          <cell r="B158">
            <v>1168</v>
          </cell>
          <cell r="C158" t="str">
            <v>ERIC SOTO JUSTO</v>
          </cell>
          <cell r="D158" t="str">
            <v>ENR</v>
          </cell>
          <cell r="E158" t="str">
            <v>ENR - Enrollador</v>
          </cell>
        </row>
        <row r="159">
          <cell r="B159">
            <v>1170</v>
          </cell>
          <cell r="C159" t="str">
            <v>VÍCTOR MANUEL RIVERA CASTELÁN</v>
          </cell>
          <cell r="D159" t="str">
            <v>MOL</v>
          </cell>
          <cell r="E159" t="str">
            <v>MOL - Molinero</v>
          </cell>
        </row>
        <row r="160">
          <cell r="B160">
            <v>1171</v>
          </cell>
          <cell r="C160" t="str">
            <v>LORENA ROSAS PELCASTRE</v>
          </cell>
          <cell r="D160" t="str">
            <v>ENR</v>
          </cell>
          <cell r="E160" t="str">
            <v>ENR - Enrollador</v>
          </cell>
        </row>
        <row r="161">
          <cell r="B161">
            <v>1172</v>
          </cell>
          <cell r="C161" t="str">
            <v>CHRIS OLIVER BENAVIDES APARICIO</v>
          </cell>
          <cell r="D161" t="str">
            <v>AAM</v>
          </cell>
          <cell r="E161" t="str">
            <v>AAM - Auxiliar de Almacén de Materia Prima</v>
          </cell>
        </row>
        <row r="162">
          <cell r="B162">
            <v>1173</v>
          </cell>
          <cell r="C162" t="str">
            <v>IRVIN HERNÁNDEZ CABRERA</v>
          </cell>
          <cell r="D162" t="str">
            <v>PRT</v>
          </cell>
          <cell r="E162" t="str">
            <v>PRT - Practicante Temporal</v>
          </cell>
        </row>
        <row r="163">
          <cell r="B163">
            <v>1174</v>
          </cell>
          <cell r="C163" t="str">
            <v>AVRIL PAOLA SÁNCHEZ CRUZ</v>
          </cell>
          <cell r="D163" t="str">
            <v>PRT</v>
          </cell>
          <cell r="E163" t="str">
            <v>PRT - Practicante Temporal</v>
          </cell>
        </row>
        <row r="164">
          <cell r="B164">
            <v>1176</v>
          </cell>
          <cell r="C164" t="str">
            <v>FRANCISCO JESÚS MORALES CORTES</v>
          </cell>
          <cell r="D164" t="str">
            <v>EMP</v>
          </cell>
          <cell r="E164" t="str">
            <v>EMP - Empacador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26_Loc_Es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9801-F712-4741-9506-6DC6A77FB38D}">
  <dimension ref="A1:P45"/>
  <sheetViews>
    <sheetView view="pageLayout" topLeftCell="A40" zoomScale="80" zoomScaleNormal="100" zoomScalePageLayoutView="80" workbookViewId="0">
      <selection activeCell="E47" sqref="E47"/>
    </sheetView>
  </sheetViews>
  <sheetFormatPr baseColWidth="10" defaultColWidth="11.59765625" defaultRowHeight="65.099999999999994" customHeight="1" x14ac:dyDescent="0.25"/>
  <cols>
    <col min="1" max="16384" width="11.59765625" style="12"/>
  </cols>
  <sheetData>
    <row r="1" spans="1:16" ht="65.099999999999994" customHeight="1" x14ac:dyDescent="0.25">
      <c r="A1" s="28">
        <v>40</v>
      </c>
      <c r="B1" s="24">
        <v>197</v>
      </c>
      <c r="C1" s="24">
        <v>333</v>
      </c>
      <c r="D1" s="24">
        <v>57</v>
      </c>
      <c r="E1" s="24">
        <v>43</v>
      </c>
      <c r="F1" s="29">
        <v>1035</v>
      </c>
      <c r="G1" s="24">
        <v>353</v>
      </c>
      <c r="H1" s="23">
        <v>1009</v>
      </c>
      <c r="I1" s="44" t="s">
        <v>85</v>
      </c>
      <c r="J1" s="18" t="s">
        <v>14</v>
      </c>
      <c r="K1" s="44" t="s">
        <v>86</v>
      </c>
      <c r="L1" s="15" t="s">
        <v>36</v>
      </c>
      <c r="M1" s="45" t="s">
        <v>87</v>
      </c>
      <c r="N1" s="14" t="s">
        <v>19</v>
      </c>
      <c r="O1" s="46" t="s">
        <v>88</v>
      </c>
      <c r="P1" s="15" t="s">
        <v>20</v>
      </c>
    </row>
    <row r="2" spans="1:16" ht="65.099999999999994" customHeight="1" x14ac:dyDescent="0.25">
      <c r="A2" s="23">
        <v>843</v>
      </c>
      <c r="B2" s="23">
        <v>535</v>
      </c>
      <c r="C2" s="23">
        <v>736</v>
      </c>
      <c r="D2" s="18">
        <v>14</v>
      </c>
      <c r="E2" s="18">
        <v>27</v>
      </c>
      <c r="F2" s="18">
        <v>657</v>
      </c>
      <c r="G2" s="23">
        <v>1123</v>
      </c>
      <c r="H2" s="23">
        <v>658</v>
      </c>
      <c r="I2" s="44"/>
      <c r="J2" s="15" t="s">
        <v>17</v>
      </c>
      <c r="K2" s="44"/>
      <c r="L2" s="15" t="s">
        <v>13</v>
      </c>
      <c r="M2" s="45"/>
      <c r="N2" s="21" t="s">
        <v>21</v>
      </c>
      <c r="O2" s="46"/>
      <c r="P2" s="14" t="s">
        <v>29</v>
      </c>
    </row>
    <row r="3" spans="1:16" ht="65.099999999999994" customHeight="1" x14ac:dyDescent="0.25">
      <c r="A3" s="23">
        <v>1164</v>
      </c>
      <c r="B3" s="23">
        <v>1108</v>
      </c>
      <c r="C3" s="23">
        <v>541</v>
      </c>
      <c r="D3" s="23">
        <v>1040</v>
      </c>
      <c r="E3" s="23">
        <v>1162</v>
      </c>
      <c r="F3" s="15">
        <v>28</v>
      </c>
      <c r="G3" s="15">
        <v>54</v>
      </c>
      <c r="H3" s="16">
        <v>767</v>
      </c>
      <c r="I3" s="44"/>
      <c r="J3" s="14" t="s">
        <v>11</v>
      </c>
      <c r="K3" s="44"/>
      <c r="L3" s="15" t="s">
        <v>18</v>
      </c>
      <c r="M3" s="45"/>
      <c r="N3" s="26" t="s">
        <v>25</v>
      </c>
      <c r="O3" s="46"/>
      <c r="P3" s="21" t="s">
        <v>22</v>
      </c>
    </row>
    <row r="4" spans="1:16" ht="65.099999999999994" customHeight="1" x14ac:dyDescent="0.25">
      <c r="A4" s="15">
        <v>88</v>
      </c>
      <c r="B4" s="15">
        <v>251</v>
      </c>
      <c r="C4" s="15">
        <v>310</v>
      </c>
      <c r="D4" s="30">
        <v>1153</v>
      </c>
      <c r="E4" s="16">
        <v>853</v>
      </c>
      <c r="F4" s="16">
        <v>991</v>
      </c>
      <c r="G4" s="15">
        <v>21</v>
      </c>
      <c r="H4" s="16">
        <v>389</v>
      </c>
      <c r="I4" s="44"/>
      <c r="J4" s="21" t="s">
        <v>24</v>
      </c>
      <c r="K4" s="44"/>
      <c r="L4" s="15" t="s">
        <v>16</v>
      </c>
      <c r="M4" s="45"/>
      <c r="N4" s="26" t="s">
        <v>30</v>
      </c>
      <c r="O4" s="46"/>
      <c r="P4" s="26" t="s">
        <v>31</v>
      </c>
    </row>
    <row r="5" spans="1:16" ht="65.099999999999994" customHeight="1" x14ac:dyDescent="0.25">
      <c r="A5" s="16">
        <v>775</v>
      </c>
      <c r="B5" s="15">
        <v>11</v>
      </c>
      <c r="C5" s="15">
        <v>647</v>
      </c>
      <c r="D5" s="15">
        <v>810</v>
      </c>
      <c r="E5" s="15">
        <v>1165</v>
      </c>
      <c r="F5" s="15">
        <v>31</v>
      </c>
      <c r="G5" s="16">
        <v>920</v>
      </c>
      <c r="H5" s="17">
        <v>1159</v>
      </c>
      <c r="I5" s="44"/>
      <c r="J5" s="26" t="s">
        <v>15</v>
      </c>
      <c r="K5" s="44"/>
      <c r="L5" s="39"/>
      <c r="M5" s="45"/>
      <c r="N5" s="26" t="s">
        <v>27</v>
      </c>
      <c r="O5" s="46"/>
      <c r="P5" s="39"/>
    </row>
    <row r="6" spans="1:16" ht="65.099999999999994" customHeight="1" x14ac:dyDescent="0.25">
      <c r="A6" s="15">
        <v>24</v>
      </c>
      <c r="B6" s="15">
        <v>30</v>
      </c>
      <c r="C6" s="15">
        <v>237</v>
      </c>
      <c r="D6" s="16">
        <v>801</v>
      </c>
      <c r="E6" s="14">
        <v>10</v>
      </c>
      <c r="F6" s="14">
        <v>18</v>
      </c>
      <c r="G6" s="14">
        <v>20</v>
      </c>
      <c r="H6" s="14">
        <v>76</v>
      </c>
      <c r="I6" s="44" t="s">
        <v>89</v>
      </c>
      <c r="J6" s="15" t="s">
        <v>23</v>
      </c>
      <c r="K6" s="45" t="s">
        <v>90</v>
      </c>
      <c r="L6" s="14" t="s">
        <v>28</v>
      </c>
      <c r="M6" s="45" t="s">
        <v>91</v>
      </c>
      <c r="N6" s="26" t="s">
        <v>26</v>
      </c>
    </row>
    <row r="7" spans="1:16" ht="65.099999999999994" customHeight="1" x14ac:dyDescent="0.25">
      <c r="A7" s="14">
        <v>93</v>
      </c>
      <c r="B7" s="14">
        <v>149</v>
      </c>
      <c r="C7" s="14">
        <v>165</v>
      </c>
      <c r="D7" s="14">
        <v>173</v>
      </c>
      <c r="E7" s="14">
        <v>176</v>
      </c>
      <c r="F7" s="14">
        <v>199</v>
      </c>
      <c r="G7" s="14">
        <v>233</v>
      </c>
      <c r="H7" s="14">
        <v>263</v>
      </c>
      <c r="I7" s="44"/>
      <c r="J7" s="39"/>
      <c r="K7" s="45"/>
      <c r="L7" s="39"/>
      <c r="M7" s="45"/>
      <c r="N7" s="39" t="s">
        <v>50</v>
      </c>
    </row>
    <row r="8" spans="1:16" ht="65.099999999999994" customHeight="1" x14ac:dyDescent="0.25">
      <c r="A8" s="14">
        <v>278</v>
      </c>
      <c r="B8" s="14">
        <v>281</v>
      </c>
      <c r="C8" s="14">
        <v>293</v>
      </c>
      <c r="D8" s="14">
        <v>295</v>
      </c>
      <c r="E8" s="14">
        <v>299</v>
      </c>
      <c r="F8" s="14">
        <v>351</v>
      </c>
      <c r="G8" s="14">
        <v>368</v>
      </c>
      <c r="H8" s="14">
        <v>376</v>
      </c>
      <c r="I8" s="44"/>
      <c r="J8" s="39"/>
      <c r="K8" s="45"/>
      <c r="L8" s="39"/>
      <c r="M8" s="45"/>
      <c r="N8" s="39"/>
    </row>
    <row r="9" spans="1:16" ht="65.099999999999994" customHeight="1" x14ac:dyDescent="0.25">
      <c r="A9" s="14">
        <v>397</v>
      </c>
      <c r="B9" s="14">
        <v>435</v>
      </c>
      <c r="C9" s="14">
        <v>506</v>
      </c>
      <c r="D9" s="14">
        <v>552</v>
      </c>
      <c r="E9" s="14">
        <v>833</v>
      </c>
      <c r="F9" s="25">
        <v>544</v>
      </c>
      <c r="G9" s="25">
        <v>760</v>
      </c>
      <c r="H9" s="25">
        <v>906</v>
      </c>
      <c r="I9" s="44"/>
      <c r="J9" s="39"/>
      <c r="K9" s="45"/>
      <c r="L9" s="39"/>
      <c r="M9" s="45"/>
      <c r="N9" s="39"/>
    </row>
    <row r="10" spans="1:16" ht="65.099999999999994" customHeight="1" x14ac:dyDescent="0.25">
      <c r="A10" s="14">
        <v>37</v>
      </c>
      <c r="B10" s="25">
        <v>800</v>
      </c>
      <c r="C10" s="25">
        <v>875</v>
      </c>
      <c r="D10" s="25">
        <v>611</v>
      </c>
      <c r="E10" s="25">
        <v>772</v>
      </c>
      <c r="F10" s="25">
        <v>938</v>
      </c>
      <c r="G10" s="21">
        <v>187</v>
      </c>
      <c r="H10" s="21">
        <v>202</v>
      </c>
      <c r="I10" s="44"/>
      <c r="J10" s="39"/>
      <c r="K10" s="45"/>
      <c r="L10" s="39"/>
      <c r="M10" s="45"/>
      <c r="N10" s="39"/>
    </row>
    <row r="11" spans="1:16" ht="65.099999999999994" customHeight="1" x14ac:dyDescent="0.25">
      <c r="A11" s="21">
        <v>211</v>
      </c>
      <c r="B11" s="21">
        <v>322</v>
      </c>
      <c r="C11" s="21">
        <v>362</v>
      </c>
      <c r="D11" s="21">
        <v>371</v>
      </c>
      <c r="E11" s="22">
        <v>428</v>
      </c>
      <c r="F11" s="22">
        <v>471</v>
      </c>
      <c r="G11" s="22">
        <v>509</v>
      </c>
      <c r="H11" s="22">
        <v>515</v>
      </c>
    </row>
    <row r="12" spans="1:16" ht="65.099999999999994" customHeight="1" x14ac:dyDescent="0.25">
      <c r="A12" s="22">
        <v>537</v>
      </c>
      <c r="B12" s="22">
        <v>607</v>
      </c>
      <c r="C12" s="22">
        <v>626</v>
      </c>
      <c r="D12" s="22">
        <v>890</v>
      </c>
      <c r="E12" s="22">
        <v>927</v>
      </c>
      <c r="F12" s="22">
        <v>1033</v>
      </c>
      <c r="G12" s="21">
        <v>198</v>
      </c>
      <c r="H12" s="31">
        <v>1157</v>
      </c>
    </row>
    <row r="13" spans="1:16" ht="65.099999999999994" customHeight="1" x14ac:dyDescent="0.25">
      <c r="A13" s="22">
        <v>1163</v>
      </c>
      <c r="B13" s="27">
        <v>661</v>
      </c>
      <c r="C13" s="27">
        <v>743</v>
      </c>
      <c r="D13" s="27">
        <v>909</v>
      </c>
      <c r="E13" s="27">
        <v>939</v>
      </c>
      <c r="F13" s="27">
        <v>1054</v>
      </c>
      <c r="G13" s="27">
        <v>1066</v>
      </c>
      <c r="H13" s="27">
        <v>1068</v>
      </c>
    </row>
    <row r="14" spans="1:16" ht="65.099999999999994" customHeight="1" x14ac:dyDescent="0.25">
      <c r="A14" s="27">
        <v>1099</v>
      </c>
      <c r="B14" s="26">
        <v>318</v>
      </c>
      <c r="C14" s="27">
        <v>1134</v>
      </c>
      <c r="D14" s="27">
        <v>1172</v>
      </c>
      <c r="E14" s="27">
        <v>970</v>
      </c>
      <c r="F14" s="27">
        <v>977</v>
      </c>
      <c r="G14" s="27">
        <v>1125</v>
      </c>
      <c r="H14" s="26">
        <v>23</v>
      </c>
    </row>
    <row r="15" spans="1:16" ht="65.099999999999994" customHeight="1" x14ac:dyDescent="0.25">
      <c r="A15" s="26">
        <v>91</v>
      </c>
      <c r="B15" s="26">
        <v>152</v>
      </c>
      <c r="C15" s="26">
        <v>266</v>
      </c>
      <c r="D15" s="27">
        <v>385</v>
      </c>
      <c r="E15" s="27">
        <v>534</v>
      </c>
      <c r="F15" s="27">
        <v>650</v>
      </c>
      <c r="G15" s="27">
        <v>735</v>
      </c>
      <c r="H15" s="27">
        <v>752</v>
      </c>
    </row>
    <row r="16" spans="1:16" ht="65.099999999999994" customHeight="1" x14ac:dyDescent="0.25">
      <c r="A16" s="27">
        <v>788</v>
      </c>
      <c r="B16" s="27">
        <v>790</v>
      </c>
      <c r="C16" s="27">
        <v>846</v>
      </c>
      <c r="D16" s="27">
        <v>934</v>
      </c>
      <c r="E16" s="27">
        <v>951</v>
      </c>
      <c r="F16" s="27">
        <v>983</v>
      </c>
      <c r="G16" s="27">
        <v>1010</v>
      </c>
      <c r="H16" s="27">
        <v>1036</v>
      </c>
    </row>
    <row r="17" spans="1:8" ht="65.099999999999994" customHeight="1" x14ac:dyDescent="0.25">
      <c r="A17" s="27">
        <v>1047</v>
      </c>
      <c r="B17" s="27">
        <v>1061</v>
      </c>
      <c r="C17" s="27">
        <v>1064</v>
      </c>
      <c r="D17" s="27">
        <v>1094</v>
      </c>
      <c r="E17" s="27">
        <v>1095</v>
      </c>
      <c r="F17" s="27">
        <v>1104</v>
      </c>
      <c r="G17" s="27">
        <v>1138</v>
      </c>
      <c r="H17" s="27">
        <v>1143</v>
      </c>
    </row>
    <row r="18" spans="1:8" ht="65.099999999999994" customHeight="1" x14ac:dyDescent="0.25">
      <c r="A18" s="27">
        <v>1144</v>
      </c>
      <c r="B18" s="32">
        <v>1155</v>
      </c>
      <c r="C18" s="27">
        <v>1166</v>
      </c>
      <c r="D18" s="27">
        <v>1167</v>
      </c>
      <c r="E18" s="27">
        <v>1168</v>
      </c>
      <c r="F18" s="27">
        <v>1171</v>
      </c>
      <c r="G18" s="27">
        <v>468</v>
      </c>
      <c r="H18" s="27">
        <v>600</v>
      </c>
    </row>
    <row r="19" spans="1:8" ht="65.099999999999994" customHeight="1" x14ac:dyDescent="0.25">
      <c r="A19" s="27">
        <v>684</v>
      </c>
      <c r="B19" s="27">
        <v>700</v>
      </c>
      <c r="C19" s="27">
        <v>1019</v>
      </c>
      <c r="D19" s="27">
        <v>1114</v>
      </c>
      <c r="E19" s="27">
        <v>1127</v>
      </c>
      <c r="F19" s="32">
        <v>1160</v>
      </c>
      <c r="G19" s="27">
        <v>1170</v>
      </c>
      <c r="H19" s="26">
        <v>373</v>
      </c>
    </row>
    <row r="20" spans="1:8" ht="65.099999999999994" customHeight="1" x14ac:dyDescent="0.25">
      <c r="A20" s="27">
        <v>660</v>
      </c>
      <c r="B20" s="27">
        <v>1081</v>
      </c>
      <c r="C20" s="33">
        <v>1118</v>
      </c>
      <c r="D20" s="33">
        <v>1126</v>
      </c>
      <c r="E20" s="33">
        <v>1122</v>
      </c>
      <c r="F20" s="33">
        <v>1090</v>
      </c>
      <c r="G20" s="34">
        <v>1158</v>
      </c>
      <c r="H20" s="33">
        <v>1173</v>
      </c>
    </row>
    <row r="21" spans="1:8" ht="65.099999999999994" customHeight="1" x14ac:dyDescent="0.25">
      <c r="A21" s="33">
        <v>1174</v>
      </c>
      <c r="B21" s="19">
        <v>98</v>
      </c>
      <c r="C21" s="20">
        <v>498</v>
      </c>
      <c r="D21" s="16">
        <v>942</v>
      </c>
      <c r="E21" s="13">
        <v>1175</v>
      </c>
      <c r="F21" s="13">
        <v>1176</v>
      </c>
      <c r="G21" s="13">
        <v>1177</v>
      </c>
      <c r="H21" s="13">
        <v>1178</v>
      </c>
    </row>
    <row r="22" spans="1:8" ht="65.099999999999994" customHeight="1" x14ac:dyDescent="0.25">
      <c r="A22" s="13">
        <v>1178</v>
      </c>
      <c r="B22" s="13">
        <v>1179</v>
      </c>
      <c r="C22" s="13">
        <v>1180</v>
      </c>
      <c r="D22" s="13">
        <v>1181</v>
      </c>
      <c r="E22" s="13">
        <v>1182</v>
      </c>
      <c r="F22" s="13">
        <v>1183</v>
      </c>
      <c r="G22" s="13">
        <v>1184</v>
      </c>
      <c r="H22" s="13">
        <v>1185</v>
      </c>
    </row>
    <row r="39" spans="2:2" ht="65.099999999999994" customHeight="1" x14ac:dyDescent="0.25">
      <c r="B39" s="40" t="s">
        <v>44</v>
      </c>
    </row>
    <row r="40" spans="2:2" ht="65.099999999999994" customHeight="1" x14ac:dyDescent="0.25">
      <c r="B40" s="40" t="s">
        <v>40</v>
      </c>
    </row>
    <row r="41" spans="2:2" ht="65.099999999999994" customHeight="1" x14ac:dyDescent="0.25">
      <c r="B41" s="40" t="s">
        <v>45</v>
      </c>
    </row>
    <row r="42" spans="2:2" ht="65.099999999999994" customHeight="1" x14ac:dyDescent="0.25">
      <c r="B42" s="40" t="s">
        <v>41</v>
      </c>
    </row>
    <row r="43" spans="2:2" ht="65.099999999999994" customHeight="1" x14ac:dyDescent="0.25">
      <c r="B43" s="40" t="s">
        <v>43</v>
      </c>
    </row>
    <row r="44" spans="2:2" ht="65.099999999999994" customHeight="1" x14ac:dyDescent="0.25">
      <c r="B44" s="40" t="s">
        <v>42</v>
      </c>
    </row>
    <row r="45" spans="2:2" ht="65.099999999999994" customHeight="1" x14ac:dyDescent="0.25">
      <c r="B45" s="40" t="s">
        <v>46</v>
      </c>
    </row>
  </sheetData>
  <protectedRanges>
    <protectedRange sqref="E8 B5 B21 F5 D7:F7 D2 D1:E1 B1 F3:G3 A4:B4 G4 A7:B7 B6:C6 A8:C8 A11 E6:H6 G10:H10 H7 A15:C15 H14 J2:J3 N1 P1:P2 P4:P5 J6:J8 L1:L8 N3:N8" name="Matricula y Nombre_4_1_1_1_1_1_2_1"/>
    <protectedRange sqref="G7" name="Matricula y Nombre_4_1_1_1_1_1_2_1_3"/>
    <protectedRange sqref="D8" name="Matricula y Nombre_4_1_1_1_1_1_2_1_5"/>
    <protectedRange sqref="E2 J1" name="Matricula y Nombre_4_1_1_1_1_1_2_1_6"/>
    <protectedRange sqref="C7" name="Matricula y Nombre_4_1_1_1_1_1_2_1_10"/>
    <protectedRange sqref="G12 J4 N2 P3 J9 L9 N9" name="Matricula y Nombre_4_1_1_1_1_1_2_1_6_1"/>
    <protectedRange sqref="H2 B2 G18 C1 C3:C4 G11:H11 D15:F15 H4 B13:B14 F8:F9 A9:C9 B11:E11 A12" name="Matricula y Nombre_4_1_1_1_1_1_2_1_2"/>
    <protectedRange sqref="C12 H18 C5 D9:D10" name="Matricula y Nombre_4_1_1_1_1_1_2_1_5_1"/>
    <protectedRange sqref="F11" name="Matricula y Nombre_4_1_1_1_1_1_2_1_7_1"/>
    <protectedRange sqref="C21" name="Matricula y Nombre_4_1_1_1_1_1_2_1_8"/>
    <protectedRange sqref="F2" name="Matricula y Nombre_4_1_1_1_1_1_2_1_9"/>
    <protectedRange sqref="A20" name="Matricula y Nombre_4_1_1_1_1_1_2_1_10_1"/>
    <protectedRange sqref="G8" name="Matricula y Nombre_4_1_1_1_1_1_2_1_12"/>
    <protectedRange sqref="G1" name="Matricula y Nombre_4_1_1_1_1_1_2_1_13"/>
    <protectedRange sqref="H19 J5 J10 L10 N10" name="Matricula y Nombre_4_1_1_1_1_1_2_1_4_1"/>
    <protectedRange sqref="H8" name="Matricula y Nombre_4_1_1_1_1_1_2_1_10_1_1"/>
    <protectedRange sqref="C16 F10 E16 D21" name="Matricula y Nombre_4_1_1_1_1_1_2_1_11"/>
    <protectedRange sqref="D6 H3 G9 E10 B10 A5 A16:B16 A19:B19 G15:H15" name="Matricula y Nombre_4_1_1_1_1_1_2_1_6_2"/>
    <protectedRange sqref="C2" name="Matricula y Nombre_4_1_1_1_1_1_2_1_3_2"/>
    <protectedRange sqref="C13" name="Matricula y Nombre_4_1_1_1_1_1_2_1_5_2"/>
    <protectedRange sqref="D5" name="Matricula y Nombre_4_1_1_1_1_1_2_1_7_2"/>
    <protectedRange sqref="E9" name="Matricula y Nombre_4_1_1_1_1_1_2_1_8_1"/>
    <protectedRange sqref="A2" name="Matricula y Nombre_4_1_1_1_1_1_2_1_9_1"/>
    <protectedRange sqref="E14" name="Matricula y Nombre_4_1_1_1_1_1_2_1_4_1_1"/>
    <protectedRange sqref="E13" name="Matricula y Nombre_4_1_1_1_1_1_2_1_12_1"/>
    <protectedRange sqref="C10 H9 G5 D16 E4 D13 D12:E12" name="Matricula y Nombre_4_1_1_1_1_1_2_1_3_3_1_3"/>
    <protectedRange sqref="F14" name="Matricula y Nombre_4_1_1_1_1_1_2_1_15"/>
    <protectedRange sqref="C19 H1 F4 F16" name="Matricula y Nombre_4_1_1_1_1_1_2_1_16"/>
    <protectedRange sqref="G16" name="Matricula y Nombre_4_1_1_1_1_1_2_1_2_1"/>
    <protectedRange sqref="D3 B3 G2 F1 A14 F17 D19:E19 G13:G14 F12:F13 A17:D17 H16 B20:F20" name="Matricula y Nombre_4_1_1_1_1_1_2_1_17"/>
    <protectedRange sqref="E17" name="Matricula y Nombre_4_1_1_1_1_1_2_1_2_2"/>
    <protectedRange sqref="H13" name="Matricula y Nombre_4_1_1_1_1_1_2_1_3_4"/>
  </protectedRanges>
  <sortState xmlns:xlrd2="http://schemas.microsoft.com/office/spreadsheetml/2017/richdata2" ref="B39:B45">
    <sortCondition ref="B39:B45"/>
  </sortState>
  <mergeCells count="7">
    <mergeCell ref="I1:I5"/>
    <mergeCell ref="K1:K5"/>
    <mergeCell ref="M1:M5"/>
    <mergeCell ref="O1:O5"/>
    <mergeCell ref="I6:I10"/>
    <mergeCell ref="K6:K10"/>
    <mergeCell ref="M6:M10"/>
  </mergeCells>
  <printOptions horizontalCentered="1"/>
  <pageMargins left="0.23622047244094491" right="0.23622047244094491" top="0.39370078740157483" bottom="0.39370078740157483" header="0" footer="0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342F-96C2-4F61-91E7-8C4EAF00253C}">
  <sheetPr>
    <tabColor rgb="FFFFC000"/>
  </sheetPr>
  <dimension ref="A1:N192"/>
  <sheetViews>
    <sheetView tabSelected="1" view="pageLayout" zoomScale="80" zoomScaleNormal="90" zoomScaleSheetLayoutView="90" zoomScalePageLayoutView="80" workbookViewId="0">
      <selection activeCell="K22" sqref="K22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PASCUAL GUADALUPE TREJO MALDONADO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10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16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F204B21F-7578-4EA9-B564-2A2B1325AE9F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2C51-3DE3-4CD3-8F95-91A474AAD6D3}">
  <sheetPr>
    <tabColor rgb="FF9C9B9B"/>
  </sheetPr>
  <dimension ref="A1:N192"/>
  <sheetViews>
    <sheetView view="pageLayout" zoomScale="80" zoomScaleNormal="90" zoomScaleSheetLayoutView="90" zoomScalePageLayoutView="80" workbookViewId="0">
      <selection activeCell="N18" sqref="N18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JOSÉ MANUEL ORTIZ GONZÁLEZ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TME - Técnico en Mantenimiento Eléctrico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4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76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27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4FA5144C-1193-4C48-A73E-815F7D30291C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296D-BE78-4C85-A123-C0CBF4EC6CA6}">
  <sheetPr>
    <tabColor rgb="FF00B050"/>
  </sheetPr>
  <dimension ref="A1:N192"/>
  <sheetViews>
    <sheetView view="pageLayout" topLeftCell="A35" zoomScale="80" zoomScaleNormal="90" zoomScaleSheetLayoutView="90" zoomScalePageLayoutView="80" workbookViewId="0">
      <selection activeCell="A17" sqref="A17:N36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EFRÉN CONDE ORTIZ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14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STU - Supervisor de Turno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 t="s">
        <v>12</v>
      </c>
      <c r="F17" s="11"/>
      <c r="G17" s="11"/>
      <c r="H17" s="11"/>
      <c r="I17" s="11"/>
      <c r="J17" s="11"/>
      <c r="K17" s="10" t="s">
        <v>37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 t="s">
        <v>12</v>
      </c>
      <c r="F18" s="11"/>
      <c r="G18" s="11"/>
      <c r="H18" s="11"/>
      <c r="I18" s="11"/>
      <c r="J18" s="11"/>
      <c r="K18" s="10" t="s">
        <v>38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35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 t="s">
        <v>12</v>
      </c>
      <c r="G20" s="11"/>
      <c r="H20" s="11"/>
      <c r="I20" s="11"/>
      <c r="J20" s="11"/>
      <c r="K20" s="10" t="s">
        <v>34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 t="s">
        <v>12</v>
      </c>
      <c r="G21" s="11"/>
      <c r="H21" s="11"/>
      <c r="I21" s="11"/>
      <c r="J21" s="11"/>
      <c r="K21" s="10" t="s">
        <v>33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 t="s">
        <v>12</v>
      </c>
      <c r="I22" s="11"/>
      <c r="J22" s="11"/>
      <c r="K22" s="10" t="s">
        <v>6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 t="s">
        <v>12</v>
      </c>
      <c r="I23" s="11"/>
      <c r="J23" s="11"/>
      <c r="K23" s="10" t="s">
        <v>80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 t="s">
        <v>12</v>
      </c>
      <c r="I24" s="11"/>
      <c r="J24" s="11"/>
      <c r="K24" s="10" t="s">
        <v>81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 t="s">
        <v>12</v>
      </c>
      <c r="I25" s="11"/>
      <c r="J25" s="11"/>
      <c r="K25" s="10" t="s">
        <v>2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 t="s">
        <v>12</v>
      </c>
      <c r="I26" s="11"/>
      <c r="J26" s="11"/>
      <c r="K26" s="10" t="s">
        <v>52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 t="s">
        <v>12</v>
      </c>
      <c r="I27" s="11"/>
      <c r="J27" s="11"/>
      <c r="K27" s="10" t="s">
        <v>53</v>
      </c>
      <c r="L27" s="3"/>
      <c r="M27" s="3"/>
      <c r="N27" s="3"/>
    </row>
    <row r="28" spans="1:14" ht="33.6" customHeight="1" x14ac:dyDescent="0.25">
      <c r="A28" s="3">
        <v>12</v>
      </c>
      <c r="B28" s="11" t="s">
        <v>12</v>
      </c>
      <c r="C28" s="11"/>
      <c r="D28" s="11"/>
      <c r="E28" s="11"/>
      <c r="F28" s="11"/>
      <c r="G28" s="11" t="s">
        <v>12</v>
      </c>
      <c r="H28" s="11"/>
      <c r="I28" s="11"/>
      <c r="J28" s="11"/>
      <c r="K28" s="10" t="s">
        <v>8</v>
      </c>
      <c r="L28" s="3"/>
      <c r="M28" s="3"/>
      <c r="N28" s="3"/>
    </row>
    <row r="29" spans="1:14" ht="33.6" customHeight="1" x14ac:dyDescent="0.25">
      <c r="A29" s="3">
        <v>13</v>
      </c>
      <c r="B29" s="11" t="s">
        <v>12</v>
      </c>
      <c r="C29" s="11"/>
      <c r="D29" s="11"/>
      <c r="E29" s="11"/>
      <c r="F29" s="11"/>
      <c r="G29" s="11" t="s">
        <v>12</v>
      </c>
      <c r="H29" s="11"/>
      <c r="I29" s="11"/>
      <c r="J29" s="11"/>
      <c r="K29" s="10" t="s">
        <v>9</v>
      </c>
      <c r="L29" s="3"/>
      <c r="M29" s="3"/>
      <c r="N29" s="3"/>
    </row>
    <row r="30" spans="1:14" ht="33.6" customHeight="1" x14ac:dyDescent="0.25">
      <c r="A30" s="3">
        <v>14</v>
      </c>
      <c r="B30" s="11" t="s">
        <v>12</v>
      </c>
      <c r="C30" s="11"/>
      <c r="D30" s="11"/>
      <c r="E30" s="11"/>
      <c r="F30" s="11"/>
      <c r="G30" s="11" t="s">
        <v>12</v>
      </c>
      <c r="H30" s="11"/>
      <c r="I30" s="11"/>
      <c r="J30" s="11"/>
      <c r="K30" s="10" t="s">
        <v>10</v>
      </c>
      <c r="L30" s="3"/>
      <c r="M30" s="3"/>
      <c r="N30" s="3"/>
    </row>
    <row r="31" spans="1:14" ht="33.6" customHeight="1" x14ac:dyDescent="0.25">
      <c r="A31" s="3">
        <v>12</v>
      </c>
      <c r="B31" s="11" t="s">
        <v>12</v>
      </c>
      <c r="C31" s="11"/>
      <c r="D31" s="11"/>
      <c r="E31" s="11"/>
      <c r="F31" s="11"/>
      <c r="G31" s="11" t="s">
        <v>12</v>
      </c>
      <c r="H31" s="11"/>
      <c r="I31" s="11"/>
      <c r="J31" s="11"/>
      <c r="K31" s="10" t="s">
        <v>77</v>
      </c>
      <c r="L31" s="3"/>
      <c r="M31" s="3"/>
      <c r="N31" s="3"/>
    </row>
    <row r="32" spans="1:14" ht="33.6" customHeight="1" x14ac:dyDescent="0.25">
      <c r="A32" s="3">
        <v>13</v>
      </c>
      <c r="B32" s="11" t="s">
        <v>12</v>
      </c>
      <c r="C32" s="11"/>
      <c r="D32" s="11"/>
      <c r="E32" s="11"/>
      <c r="F32" s="11"/>
      <c r="G32" s="11"/>
      <c r="H32" s="11"/>
      <c r="I32" s="11" t="s">
        <v>12</v>
      </c>
      <c r="J32" s="11"/>
      <c r="K32" s="10" t="s">
        <v>75</v>
      </c>
      <c r="L32" s="3"/>
      <c r="M32" s="3"/>
      <c r="N32" s="3"/>
    </row>
    <row r="33" spans="1:14" ht="33.6" customHeight="1" x14ac:dyDescent="0.25">
      <c r="A33" s="3">
        <v>14</v>
      </c>
      <c r="B33" s="11" t="s">
        <v>12</v>
      </c>
      <c r="C33" s="11"/>
      <c r="D33" s="11"/>
      <c r="E33" s="11"/>
      <c r="F33" s="11"/>
      <c r="G33" s="11"/>
      <c r="H33" s="11"/>
      <c r="I33" s="11" t="s">
        <v>12</v>
      </c>
      <c r="J33" s="11"/>
      <c r="K33" s="10" t="s">
        <v>39</v>
      </c>
      <c r="L33" s="3"/>
      <c r="M33" s="3"/>
      <c r="N33" s="3"/>
    </row>
    <row r="34" spans="1:14" ht="33.6" customHeight="1" x14ac:dyDescent="0.25">
      <c r="A34" s="3">
        <v>15</v>
      </c>
      <c r="B34" s="11" t="s">
        <v>12</v>
      </c>
      <c r="C34" s="11"/>
      <c r="D34" s="11"/>
      <c r="E34" s="11"/>
      <c r="F34" s="11"/>
      <c r="G34" s="11"/>
      <c r="H34" s="11"/>
      <c r="I34" s="11"/>
      <c r="J34" s="11" t="s">
        <v>12</v>
      </c>
      <c r="K34" s="10" t="s">
        <v>7</v>
      </c>
      <c r="L34" s="3"/>
      <c r="M34" s="3"/>
      <c r="N34" s="3"/>
    </row>
    <row r="35" spans="1:14" ht="33.6" customHeight="1" x14ac:dyDescent="0.25">
      <c r="A35" s="35">
        <v>16</v>
      </c>
      <c r="B35" s="36" t="s">
        <v>12</v>
      </c>
      <c r="C35" s="36"/>
      <c r="D35" s="36"/>
      <c r="E35" s="36"/>
      <c r="F35" s="36"/>
      <c r="G35" s="36"/>
      <c r="H35" s="36"/>
      <c r="I35" s="36"/>
      <c r="J35" s="36" t="s">
        <v>12</v>
      </c>
      <c r="K35" s="37" t="str">
        <f>"Locker No. "&amp;VLOOKUP($N$3,[2]!Tabla8[#All],3,0)</f>
        <v>Locker No. 11</v>
      </c>
      <c r="L35" s="35"/>
      <c r="M35" s="35"/>
      <c r="N35" s="35"/>
    </row>
    <row r="36" spans="1:14" ht="33.6" customHeight="1" x14ac:dyDescent="0.25">
      <c r="A36" s="3">
        <v>17</v>
      </c>
      <c r="B36" s="11" t="s">
        <v>12</v>
      </c>
      <c r="C36" s="11"/>
      <c r="D36" s="11"/>
      <c r="E36" s="11"/>
      <c r="F36" s="11"/>
      <c r="G36" s="3"/>
      <c r="H36" s="3"/>
      <c r="I36" s="3"/>
      <c r="J36" s="11" t="s">
        <v>12</v>
      </c>
      <c r="K36" s="10" t="s">
        <v>82</v>
      </c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8C04BDD4-E25C-46AA-8AA7-963D139023D4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F29BC-291F-4163-B6E7-656F05EF0FA2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Q11" sqref="Q1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GUSTAVO ROLDÁN HERNÁNDEZ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18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">
        <v>47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 t="s">
        <v>12</v>
      </c>
      <c r="B9" s="48" t="s">
        <v>79</v>
      </c>
      <c r="C9" s="48"/>
      <c r="D9" s="48"/>
      <c r="E9" s="48"/>
      <c r="F9" s="48"/>
      <c r="G9" s="48" t="str">
        <f>VLOOKUP(N3,[1]Activo26!B3:E164,4,0)</f>
        <v>OEX - Operador de Extrusión</v>
      </c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20</v>
      </c>
      <c r="L26" s="3"/>
      <c r="M26" s="3"/>
      <c r="N26" s="3"/>
    </row>
    <row r="27" spans="1:14" ht="33.6" customHeight="1" x14ac:dyDescent="0.25">
      <c r="A27" s="3">
        <v>11</v>
      </c>
      <c r="B27" s="11"/>
      <c r="C27" s="11"/>
      <c r="D27" s="11"/>
      <c r="E27" s="11"/>
      <c r="F27" s="11"/>
      <c r="G27" s="11"/>
      <c r="H27" s="11" t="s">
        <v>12</v>
      </c>
      <c r="I27" s="11"/>
      <c r="J27" s="11"/>
      <c r="K27" s="10" t="s">
        <v>3</v>
      </c>
      <c r="L27" s="3"/>
      <c r="M27" s="3"/>
      <c r="N27" s="3"/>
    </row>
    <row r="28" spans="1:14" ht="33.6" customHeight="1" x14ac:dyDescent="0.25">
      <c r="A28" s="3">
        <v>12</v>
      </c>
      <c r="B28" s="11"/>
      <c r="C28" s="11"/>
      <c r="D28" s="11"/>
      <c r="E28" s="11"/>
      <c r="F28" s="11"/>
      <c r="G28" s="11"/>
      <c r="H28" s="11" t="s">
        <v>12</v>
      </c>
      <c r="I28" s="11"/>
      <c r="J28" s="11"/>
      <c r="K28" s="10" t="s">
        <v>2</v>
      </c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CB8A6BDC-79E4-40B6-ACCA-54CBC4C15334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2516-E39D-454C-A2B4-0DAC73665CFB}">
  <sheetPr>
    <tabColor rgb="FFFFC000"/>
  </sheetPr>
  <dimension ref="A1:N192"/>
  <sheetViews>
    <sheetView view="pageLayout" topLeftCell="A10" zoomScale="80" zoomScaleNormal="90" zoomScaleSheetLayoutView="90" zoomScalePageLayoutView="80" workbookViewId="0">
      <selection activeCell="A17" sqref="A17:N26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JUVENAL ROSAS CORTÉS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20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13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BE828FFC-4E95-4680-B038-64B11E4353EB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6960-D967-4073-AAEA-C56A28E9FAB1}">
  <sheetPr>
    <tabColor rgb="FF9C9B9B"/>
  </sheetPr>
  <dimension ref="A1:N192"/>
  <sheetViews>
    <sheetView view="pageLayout" zoomScale="80" zoomScaleNormal="90" zoomScaleSheetLayoutView="90" zoomScalePageLayoutView="80" workbookViewId="0">
      <selection activeCell="K21" sqref="K2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SALVADOR BRIONES HERNÁNDEZ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TGA - Técnico en Mantenimiento General A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4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76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2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CE8C2D1B-1D42-4E08-BCAB-0A0498B78150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8E9E-2423-4543-8BE7-64F47F14D1E8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HÉCTOR MARTÍN TREJO MALDONADO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47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FC3A3EAE-EB61-4147-BC32-8F58575149D0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162E-3A78-4D5F-A88E-CEC35CE7DDE7}">
  <sheetPr>
    <tabColor rgb="FF00B050"/>
  </sheetPr>
  <dimension ref="A1:N192"/>
  <sheetViews>
    <sheetView view="pageLayout" topLeftCell="A34" zoomScale="80" zoomScaleNormal="90" zoomScaleSheetLayoutView="90" zoomScalePageLayoutView="80" workbookViewId="0">
      <selection activeCell="L37" sqref="L37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ARCADIO MENDOZA CARBAJAL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27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STU - Supervisor de Turno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 t="s">
        <v>12</v>
      </c>
      <c r="F17" s="11"/>
      <c r="G17" s="11"/>
      <c r="H17" s="11"/>
      <c r="I17" s="11"/>
      <c r="J17" s="11"/>
      <c r="K17" s="10" t="s">
        <v>37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 t="s">
        <v>12</v>
      </c>
      <c r="F18" s="11"/>
      <c r="G18" s="11"/>
      <c r="H18" s="11"/>
      <c r="I18" s="11"/>
      <c r="J18" s="11"/>
      <c r="K18" s="10" t="s">
        <v>38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35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 t="s">
        <v>12</v>
      </c>
      <c r="G20" s="11"/>
      <c r="H20" s="11"/>
      <c r="I20" s="11"/>
      <c r="J20" s="11"/>
      <c r="K20" s="10" t="s">
        <v>34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 t="s">
        <v>12</v>
      </c>
      <c r="G21" s="11"/>
      <c r="H21" s="11"/>
      <c r="I21" s="11"/>
      <c r="J21" s="11"/>
      <c r="K21" s="10" t="s">
        <v>33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 t="s">
        <v>12</v>
      </c>
      <c r="I22" s="11"/>
      <c r="J22" s="11"/>
      <c r="K22" s="10" t="s">
        <v>6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 t="s">
        <v>12</v>
      </c>
      <c r="I23" s="11"/>
      <c r="J23" s="11"/>
      <c r="K23" s="10" t="s">
        <v>80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 t="s">
        <v>12</v>
      </c>
      <c r="I24" s="11"/>
      <c r="J24" s="11"/>
      <c r="K24" s="10" t="s">
        <v>81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 t="s">
        <v>12</v>
      </c>
      <c r="I25" s="11"/>
      <c r="J25" s="11"/>
      <c r="K25" s="10" t="s">
        <v>2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 t="s">
        <v>12</v>
      </c>
      <c r="I26" s="11"/>
      <c r="J26" s="11"/>
      <c r="K26" s="10" t="s">
        <v>52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 t="s">
        <v>12</v>
      </c>
      <c r="I27" s="11"/>
      <c r="J27" s="11"/>
      <c r="K27" s="10" t="s">
        <v>53</v>
      </c>
      <c r="L27" s="3"/>
      <c r="M27" s="3"/>
      <c r="N27" s="3"/>
    </row>
    <row r="28" spans="1:14" ht="33.6" customHeight="1" x14ac:dyDescent="0.25">
      <c r="A28" s="3">
        <v>12</v>
      </c>
      <c r="B28" s="11" t="s">
        <v>12</v>
      </c>
      <c r="C28" s="11"/>
      <c r="D28" s="11"/>
      <c r="E28" s="11"/>
      <c r="F28" s="11"/>
      <c r="G28" s="11" t="s">
        <v>12</v>
      </c>
      <c r="H28" s="11"/>
      <c r="I28" s="11"/>
      <c r="J28" s="11"/>
      <c r="K28" s="10" t="s">
        <v>8</v>
      </c>
      <c r="L28" s="3"/>
      <c r="M28" s="3"/>
      <c r="N28" s="3"/>
    </row>
    <row r="29" spans="1:14" ht="33.6" customHeight="1" x14ac:dyDescent="0.25">
      <c r="A29" s="3">
        <v>13</v>
      </c>
      <c r="B29" s="11" t="s">
        <v>12</v>
      </c>
      <c r="C29" s="11"/>
      <c r="D29" s="11"/>
      <c r="E29" s="11"/>
      <c r="F29" s="11"/>
      <c r="G29" s="11" t="s">
        <v>12</v>
      </c>
      <c r="H29" s="11"/>
      <c r="I29" s="11"/>
      <c r="J29" s="11"/>
      <c r="K29" s="10" t="s">
        <v>9</v>
      </c>
      <c r="L29" s="3"/>
      <c r="M29" s="3"/>
      <c r="N29" s="3"/>
    </row>
    <row r="30" spans="1:14" ht="33.6" customHeight="1" x14ac:dyDescent="0.25">
      <c r="A30" s="3">
        <v>14</v>
      </c>
      <c r="B30" s="11" t="s">
        <v>12</v>
      </c>
      <c r="C30" s="11"/>
      <c r="D30" s="11"/>
      <c r="E30" s="11"/>
      <c r="F30" s="11"/>
      <c r="G30" s="11" t="s">
        <v>12</v>
      </c>
      <c r="H30" s="11"/>
      <c r="I30" s="11"/>
      <c r="J30" s="11"/>
      <c r="K30" s="10" t="s">
        <v>10</v>
      </c>
      <c r="L30" s="3"/>
      <c r="M30" s="3"/>
      <c r="N30" s="3"/>
    </row>
    <row r="31" spans="1:14" ht="33.6" customHeight="1" x14ac:dyDescent="0.25">
      <c r="A31" s="3">
        <v>12</v>
      </c>
      <c r="B31" s="11" t="s">
        <v>12</v>
      </c>
      <c r="C31" s="11"/>
      <c r="D31" s="11"/>
      <c r="E31" s="11"/>
      <c r="F31" s="11"/>
      <c r="G31" s="11" t="s">
        <v>12</v>
      </c>
      <c r="H31" s="11"/>
      <c r="I31" s="11"/>
      <c r="J31" s="11"/>
      <c r="K31" s="10" t="s">
        <v>77</v>
      </c>
      <c r="L31" s="3"/>
      <c r="M31" s="3"/>
      <c r="N31" s="3"/>
    </row>
    <row r="32" spans="1:14" ht="33.6" customHeight="1" x14ac:dyDescent="0.25">
      <c r="A32" s="3">
        <v>13</v>
      </c>
      <c r="B32" s="11" t="s">
        <v>12</v>
      </c>
      <c r="C32" s="11"/>
      <c r="D32" s="11"/>
      <c r="E32" s="11"/>
      <c r="F32" s="11"/>
      <c r="G32" s="11"/>
      <c r="H32" s="11"/>
      <c r="I32" s="11" t="s">
        <v>12</v>
      </c>
      <c r="J32" s="11"/>
      <c r="K32" s="10" t="s">
        <v>75</v>
      </c>
      <c r="L32" s="3"/>
      <c r="M32" s="3"/>
      <c r="N32" s="3"/>
    </row>
    <row r="33" spans="1:14" ht="33.6" customHeight="1" x14ac:dyDescent="0.25">
      <c r="A33" s="3">
        <v>14</v>
      </c>
      <c r="B33" s="11" t="s">
        <v>12</v>
      </c>
      <c r="C33" s="11"/>
      <c r="D33" s="11"/>
      <c r="E33" s="11"/>
      <c r="F33" s="11"/>
      <c r="G33" s="11"/>
      <c r="H33" s="11"/>
      <c r="I33" s="11" t="s">
        <v>12</v>
      </c>
      <c r="J33" s="11"/>
      <c r="K33" s="10" t="s">
        <v>39</v>
      </c>
      <c r="L33" s="3"/>
      <c r="M33" s="3"/>
      <c r="N33" s="3"/>
    </row>
    <row r="34" spans="1:14" ht="33.6" customHeight="1" x14ac:dyDescent="0.25">
      <c r="A34" s="3">
        <v>15</v>
      </c>
      <c r="B34" s="11" t="s">
        <v>12</v>
      </c>
      <c r="C34" s="11"/>
      <c r="D34" s="11"/>
      <c r="E34" s="11"/>
      <c r="F34" s="11"/>
      <c r="G34" s="11"/>
      <c r="H34" s="11"/>
      <c r="I34" s="11"/>
      <c r="J34" s="11" t="s">
        <v>12</v>
      </c>
      <c r="K34" s="10" t="s">
        <v>7</v>
      </c>
      <c r="L34" s="3"/>
      <c r="M34" s="3"/>
      <c r="N34" s="3"/>
    </row>
    <row r="35" spans="1:14" ht="33.6" customHeight="1" x14ac:dyDescent="0.25">
      <c r="A35" s="35">
        <v>16</v>
      </c>
      <c r="B35" s="36" t="s">
        <v>12</v>
      </c>
      <c r="C35" s="36"/>
      <c r="D35" s="36"/>
      <c r="E35" s="36"/>
      <c r="F35" s="36"/>
      <c r="G35" s="36"/>
      <c r="H35" s="36"/>
      <c r="I35" s="36"/>
      <c r="J35" s="36" t="s">
        <v>12</v>
      </c>
      <c r="K35" s="37" t="str">
        <f>"Locker No. "&amp;VLOOKUP($N$3,[2]!Tabla8[#All],3,0)</f>
        <v>Locker No. 137</v>
      </c>
      <c r="L35" s="35"/>
      <c r="M35" s="35"/>
      <c r="N35" s="35"/>
    </row>
    <row r="36" spans="1:14" ht="33.6" customHeight="1" x14ac:dyDescent="0.25">
      <c r="A36" s="3">
        <v>17</v>
      </c>
      <c r="B36" s="11" t="s">
        <v>12</v>
      </c>
      <c r="C36" s="11"/>
      <c r="D36" s="11"/>
      <c r="E36" s="11"/>
      <c r="F36" s="11"/>
      <c r="G36" s="3"/>
      <c r="H36" s="3"/>
      <c r="I36" s="3"/>
      <c r="J36" s="11" t="s">
        <v>12</v>
      </c>
      <c r="K36" s="10" t="s">
        <v>82</v>
      </c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141E34C7-A584-40E5-8A36-A15DF91DCA81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473C-953E-4585-AE53-75B8014B18C7}">
  <sheetPr>
    <tabColor rgb="FF9C9B9B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JOSÉ DELFINO MUÑOZ CEREZO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28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REN - Responsable de Enrollado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 t="s">
        <v>12</v>
      </c>
      <c r="F17" s="11"/>
      <c r="G17" s="11"/>
      <c r="H17" s="11"/>
      <c r="I17" s="11"/>
      <c r="J17" s="11"/>
      <c r="K17" s="10" t="s">
        <v>37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53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8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9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10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92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36" t="s">
        <v>12</v>
      </c>
      <c r="C26" s="36"/>
      <c r="D26" s="36"/>
      <c r="E26" s="36"/>
      <c r="F26" s="36"/>
      <c r="G26" s="36"/>
      <c r="H26" s="36"/>
      <c r="I26" s="36"/>
      <c r="J26" s="36" t="s">
        <v>12</v>
      </c>
      <c r="K26" s="37" t="str">
        <f>"Locker No. "&amp;VLOOKUP($N$3,[2]!Tabla8[#All],3,0)</f>
        <v>Locker No. 28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7"/>
      <c r="L35" s="35"/>
      <c r="M35" s="35"/>
      <c r="N35" s="35"/>
    </row>
    <row r="36" spans="1:14" ht="33.6" customHeight="1" x14ac:dyDescent="0.25">
      <c r="A36" s="3"/>
      <c r="B36" s="11"/>
      <c r="C36" s="11"/>
      <c r="D36" s="11"/>
      <c r="E36" s="11"/>
      <c r="F36" s="11"/>
      <c r="G36" s="3"/>
      <c r="H36" s="3"/>
      <c r="I36" s="3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52:N52"/>
    <mergeCell ref="B12:F12"/>
    <mergeCell ref="G12:L12"/>
    <mergeCell ref="M12:N12"/>
    <mergeCell ref="A14:N14"/>
    <mergeCell ref="E50:N50"/>
    <mergeCell ref="A51:N51"/>
    <mergeCell ref="B10:F10"/>
    <mergeCell ref="G10:L10"/>
    <mergeCell ref="M10:N10"/>
    <mergeCell ref="B11:F11"/>
    <mergeCell ref="G11:L11"/>
    <mergeCell ref="M11:N11"/>
    <mergeCell ref="B8:F8"/>
    <mergeCell ref="G8:L8"/>
    <mergeCell ref="M8:N8"/>
    <mergeCell ref="B9:F9"/>
    <mergeCell ref="G9:L9"/>
    <mergeCell ref="M9:N9"/>
    <mergeCell ref="A7:F7"/>
    <mergeCell ref="G7:L7"/>
    <mergeCell ref="M7:N7"/>
    <mergeCell ref="A1:N1"/>
    <mergeCell ref="A3:D3"/>
    <mergeCell ref="E3:K3"/>
    <mergeCell ref="L3:M3"/>
    <mergeCell ref="A5:N5"/>
  </mergeCells>
  <hyperlinks>
    <hyperlink ref="N3" location="Activo26!A1" display="Activo26!A1" xr:uid="{311D5D83-C4C8-45A6-8335-FA256C55B307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EFA1-CCB4-482C-8692-BA64E6B21EB0}">
  <sheetPr>
    <tabColor rgb="FF9C9B9B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JOEL GONZÁLEZ SAGASTUME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54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REN - Responsable de Enrollado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 t="s">
        <v>12</v>
      </c>
      <c r="F17" s="11"/>
      <c r="G17" s="11"/>
      <c r="H17" s="11"/>
      <c r="I17" s="11"/>
      <c r="J17" s="11"/>
      <c r="K17" s="10" t="s">
        <v>37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53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8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9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10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92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36" t="s">
        <v>12</v>
      </c>
      <c r="C26" s="36"/>
      <c r="D26" s="36"/>
      <c r="E26" s="36"/>
      <c r="F26" s="36"/>
      <c r="G26" s="36"/>
      <c r="H26" s="36"/>
      <c r="I26" s="36"/>
      <c r="J26" s="36" t="s">
        <v>12</v>
      </c>
      <c r="K26" s="37" t="str">
        <f>"Locker No. "&amp;VLOOKUP($N$3,[2]!Tabla8[#All],3,0)</f>
        <v>Locker No. 34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7"/>
      <c r="L35" s="35"/>
      <c r="M35" s="35"/>
      <c r="N35" s="35"/>
    </row>
    <row r="36" spans="1:14" ht="33.6" customHeight="1" x14ac:dyDescent="0.25">
      <c r="A36" s="3"/>
      <c r="B36" s="11"/>
      <c r="C36" s="11"/>
      <c r="D36" s="11"/>
      <c r="E36" s="11"/>
      <c r="F36" s="11"/>
      <c r="G36" s="3"/>
      <c r="H36" s="3"/>
      <c r="I36" s="3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52:N52"/>
    <mergeCell ref="B12:F12"/>
    <mergeCell ref="G12:L12"/>
    <mergeCell ref="M12:N12"/>
    <mergeCell ref="A14:N14"/>
    <mergeCell ref="E50:N50"/>
    <mergeCell ref="A51:N51"/>
    <mergeCell ref="B10:F10"/>
    <mergeCell ref="G10:L10"/>
    <mergeCell ref="M10:N10"/>
    <mergeCell ref="B11:F11"/>
    <mergeCell ref="G11:L11"/>
    <mergeCell ref="M11:N11"/>
    <mergeCell ref="B8:F8"/>
    <mergeCell ref="G8:L8"/>
    <mergeCell ref="M8:N8"/>
    <mergeCell ref="B9:F9"/>
    <mergeCell ref="G9:L9"/>
    <mergeCell ref="M9:N9"/>
    <mergeCell ref="A7:F7"/>
    <mergeCell ref="G7:L7"/>
    <mergeCell ref="M7:N7"/>
    <mergeCell ref="A1:N1"/>
    <mergeCell ref="A3:D3"/>
    <mergeCell ref="E3:K3"/>
    <mergeCell ref="L3:M3"/>
    <mergeCell ref="A5:N5"/>
  </mergeCells>
  <hyperlinks>
    <hyperlink ref="N3" location="Activo26!A1" display="Activo26!A1" xr:uid="{94BD9BF6-3BA0-4A5D-A23F-1A3AC68955D3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3E49-4531-4E84-A18A-922D26316EF2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EDER FRANCISCO AGUILAR MONROY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76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8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A3DE8017-DC43-48CF-A7A0-3447C0394D36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0BDA-7FC0-4A6A-8EDA-94FACA839065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ANDRÉS GARCÍA GONZÁLEZ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91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49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05CFCE5C-3208-4930-A1F4-52CADFAD4F14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D7C9-FB3C-44B2-8A4C-D79F3CAFD32A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MARTÍN ARANDA HERNÁNDEZ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93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40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3A44DAED-2069-408E-BBDA-5AE0C80B2F97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0555-525A-4A43-950E-2F438C37D5CE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IVÁN MENESES REYES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149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7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B6EC176D-A44E-4974-8390-03D2EBB0EAA9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77CC-8CA2-4366-803D-138BA157BA27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ELIEL SUÁREZ PEREA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152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17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80FE5015-D50B-4010-84E5-329CC84502E4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8E81-B704-4577-B099-5DC99357B5F6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SAMUEL HERNÁNDEZ DE LA CRUZ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165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25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900D6F95-1889-4FDA-A629-AA3C4018E7D2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C2F7-C892-4CAA-A957-42A9EB2DBC91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JOSÉ CARLOS MEJÍA SOTO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173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9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EE12A68F-74CB-4709-B78D-AFE8920E6EC4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3EAD-3665-43FE-852E-BC55F8B207F3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GABRIEL MORALES ORTEGA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176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30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6CF932B9-457E-4389-8498-D06592196196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629A-9DC3-434B-8670-2B34333BEB00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BENJAMÍN ROSALES ROMERO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199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52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7CD519DE-73B9-4AB5-B094-92A4C2B8E5B5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9237-BA01-44F7-8467-DA357EBF353E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GERMÁN ALVARADO PÉREZ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233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38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95463C14-49E8-4EA7-8121-F4F08C280620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773F-A9D8-45A2-B71D-62C8468BD54E}">
  <sheetPr>
    <tabColor rgb="FF9C9B9B"/>
  </sheetPr>
  <dimension ref="A1:N192"/>
  <sheetViews>
    <sheetView view="pageBreakPreview" zoomScale="9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LUIS ENRIQUE GARCÍA BORGES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251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ACA - Auditor de Calidad - Proceso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54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 t="s">
        <v>12</v>
      </c>
      <c r="F17" s="11"/>
      <c r="G17" s="11"/>
      <c r="H17" s="11"/>
      <c r="I17" s="11"/>
      <c r="J17" s="11"/>
      <c r="K17" s="10" t="s">
        <v>93</v>
      </c>
      <c r="L17" s="3">
        <v>1</v>
      </c>
      <c r="M17" s="3" t="s">
        <v>99</v>
      </c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 t="s">
        <v>12</v>
      </c>
      <c r="F18" s="11"/>
      <c r="G18" s="11"/>
      <c r="H18" s="11"/>
      <c r="I18" s="11"/>
      <c r="J18" s="11"/>
      <c r="K18" s="41" t="s">
        <v>101</v>
      </c>
      <c r="L18" s="3">
        <v>1</v>
      </c>
      <c r="M18" s="3" t="s">
        <v>99</v>
      </c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 t="s">
        <v>12</v>
      </c>
      <c r="F19" s="11"/>
      <c r="G19" s="11"/>
      <c r="H19" s="11"/>
      <c r="I19" s="11"/>
      <c r="J19" s="11"/>
      <c r="K19" s="10" t="s">
        <v>95</v>
      </c>
      <c r="L19" s="3">
        <v>1</v>
      </c>
      <c r="M19" s="3" t="s">
        <v>99</v>
      </c>
      <c r="N19" s="3"/>
    </row>
    <row r="20" spans="1:14" ht="33.6" customHeight="1" x14ac:dyDescent="0.25">
      <c r="A20" s="3">
        <v>2</v>
      </c>
      <c r="B20" s="11" t="s">
        <v>12</v>
      </c>
      <c r="C20" s="11"/>
      <c r="D20" s="11"/>
      <c r="E20" s="11" t="s">
        <v>12</v>
      </c>
      <c r="F20" s="11"/>
      <c r="G20" s="11"/>
      <c r="H20" s="11"/>
      <c r="I20" s="11"/>
      <c r="J20" s="11"/>
      <c r="K20" s="10" t="s">
        <v>96</v>
      </c>
      <c r="L20" s="3">
        <v>1</v>
      </c>
      <c r="M20" s="3" t="s">
        <v>99</v>
      </c>
      <c r="N20" s="3"/>
    </row>
    <row r="21" spans="1:14" ht="33.6" customHeight="1" x14ac:dyDescent="0.25">
      <c r="A21" s="3">
        <v>3</v>
      </c>
      <c r="B21" s="11" t="s">
        <v>12</v>
      </c>
      <c r="C21" s="11"/>
      <c r="D21" s="11"/>
      <c r="E21" s="11"/>
      <c r="F21" s="11" t="s">
        <v>12</v>
      </c>
      <c r="G21" s="11"/>
      <c r="H21" s="11"/>
      <c r="I21" s="11"/>
      <c r="J21" s="11"/>
      <c r="K21" s="10" t="s">
        <v>33</v>
      </c>
      <c r="L21" s="3">
        <v>1</v>
      </c>
      <c r="M21" s="3" t="s">
        <v>99</v>
      </c>
      <c r="N21" s="3"/>
    </row>
    <row r="22" spans="1:14" ht="33.6" customHeight="1" x14ac:dyDescent="0.25">
      <c r="A22" s="3">
        <v>4</v>
      </c>
      <c r="B22" s="11" t="s">
        <v>12</v>
      </c>
      <c r="C22" s="11"/>
      <c r="D22" s="11"/>
      <c r="E22" s="11"/>
      <c r="F22" s="11"/>
      <c r="G22" s="11"/>
      <c r="H22" s="11" t="s">
        <v>12</v>
      </c>
      <c r="I22" s="11"/>
      <c r="J22" s="11"/>
      <c r="K22" s="10" t="s">
        <v>53</v>
      </c>
      <c r="L22" s="3">
        <v>1</v>
      </c>
      <c r="M22" s="3" t="s">
        <v>99</v>
      </c>
      <c r="N22" s="3"/>
    </row>
    <row r="23" spans="1:14" ht="33.6" customHeight="1" x14ac:dyDescent="0.25">
      <c r="A23" s="3">
        <v>5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8</v>
      </c>
      <c r="L23" s="3">
        <v>2</v>
      </c>
      <c r="M23" s="3" t="s">
        <v>100</v>
      </c>
      <c r="N23" s="3"/>
    </row>
    <row r="24" spans="1:14" ht="33.6" customHeight="1" x14ac:dyDescent="0.25">
      <c r="A24" s="3">
        <v>6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9</v>
      </c>
      <c r="L24" s="3">
        <v>1</v>
      </c>
      <c r="M24" s="3" t="s">
        <v>99</v>
      </c>
      <c r="N24" s="3"/>
    </row>
    <row r="25" spans="1:14" ht="33.6" customHeight="1" x14ac:dyDescent="0.25">
      <c r="A25" s="3">
        <v>7</v>
      </c>
      <c r="B25" s="11" t="s">
        <v>12</v>
      </c>
      <c r="C25" s="11"/>
      <c r="D25" s="11"/>
      <c r="E25" s="11"/>
      <c r="F25" s="11"/>
      <c r="G25" s="11" t="s">
        <v>12</v>
      </c>
      <c r="H25" s="11"/>
      <c r="I25" s="11"/>
      <c r="J25" s="11"/>
      <c r="K25" s="10" t="s">
        <v>10</v>
      </c>
      <c r="L25" s="3">
        <v>3</v>
      </c>
      <c r="M25" s="3" t="s">
        <v>100</v>
      </c>
      <c r="N25" s="3"/>
    </row>
    <row r="26" spans="1:14" ht="33.6" customHeight="1" x14ac:dyDescent="0.25">
      <c r="A26" s="3">
        <v>8</v>
      </c>
      <c r="B26" s="11" t="s">
        <v>12</v>
      </c>
      <c r="C26" s="11"/>
      <c r="D26" s="11"/>
      <c r="E26" s="11"/>
      <c r="F26" s="11"/>
      <c r="G26" s="11" t="s">
        <v>12</v>
      </c>
      <c r="H26" s="11"/>
      <c r="I26" s="11"/>
      <c r="J26" s="11"/>
      <c r="K26" s="10" t="s">
        <v>94</v>
      </c>
      <c r="L26" s="3">
        <v>1</v>
      </c>
      <c r="M26" s="3" t="s">
        <v>99</v>
      </c>
      <c r="N26" s="3"/>
    </row>
    <row r="27" spans="1:14" ht="33.6" customHeight="1" x14ac:dyDescent="0.25">
      <c r="A27" s="3">
        <v>9</v>
      </c>
      <c r="B27" s="11" t="s">
        <v>12</v>
      </c>
      <c r="C27" s="11"/>
      <c r="D27" s="11"/>
      <c r="E27" s="11"/>
      <c r="F27" s="11"/>
      <c r="G27" s="11"/>
      <c r="H27" s="11" t="s">
        <v>12</v>
      </c>
      <c r="I27" s="3"/>
      <c r="J27" s="3"/>
      <c r="K27" s="10" t="s">
        <v>97</v>
      </c>
      <c r="L27" s="3">
        <v>1</v>
      </c>
      <c r="M27" s="3" t="s">
        <v>99</v>
      </c>
      <c r="N27" s="3"/>
    </row>
    <row r="28" spans="1:14" ht="33.6" customHeight="1" x14ac:dyDescent="0.25">
      <c r="A28" s="3">
        <v>10</v>
      </c>
      <c r="B28" s="11" t="s">
        <v>12</v>
      </c>
      <c r="C28" s="11"/>
      <c r="D28" s="11"/>
      <c r="E28" s="11"/>
      <c r="F28" s="11"/>
      <c r="G28" s="11"/>
      <c r="H28" s="11" t="s">
        <v>12</v>
      </c>
      <c r="I28" s="3"/>
      <c r="J28" s="3"/>
      <c r="K28" s="10" t="s">
        <v>83</v>
      </c>
      <c r="L28" s="3">
        <v>1</v>
      </c>
      <c r="M28" s="3" t="s">
        <v>99</v>
      </c>
      <c r="N28" s="3"/>
    </row>
    <row r="29" spans="1:14" ht="33.6" customHeight="1" x14ac:dyDescent="0.25">
      <c r="A29" s="3">
        <v>11</v>
      </c>
      <c r="B29" s="11" t="s">
        <v>12</v>
      </c>
      <c r="C29" s="11"/>
      <c r="D29" s="11"/>
      <c r="E29" s="11"/>
      <c r="F29" s="11"/>
      <c r="G29" s="11"/>
      <c r="H29" s="11" t="s">
        <v>12</v>
      </c>
      <c r="I29" s="3"/>
      <c r="J29" s="3"/>
      <c r="K29" s="10" t="s">
        <v>103</v>
      </c>
      <c r="L29" s="3">
        <v>1</v>
      </c>
      <c r="M29" s="3" t="s">
        <v>99</v>
      </c>
      <c r="N29" s="3"/>
    </row>
    <row r="30" spans="1:14" ht="33.6" customHeight="1" x14ac:dyDescent="0.25">
      <c r="A30" s="3">
        <v>12</v>
      </c>
      <c r="B30" s="11" t="s">
        <v>12</v>
      </c>
      <c r="C30" s="11"/>
      <c r="D30" s="11"/>
      <c r="E30" s="11"/>
      <c r="F30" s="11"/>
      <c r="G30" s="11"/>
      <c r="H30" s="11" t="s">
        <v>12</v>
      </c>
      <c r="I30" s="3"/>
      <c r="J30" s="3"/>
      <c r="K30" s="10" t="s">
        <v>2</v>
      </c>
      <c r="L30" s="3">
        <v>1</v>
      </c>
      <c r="M30" s="3" t="s">
        <v>99</v>
      </c>
      <c r="N30" s="3"/>
    </row>
    <row r="31" spans="1:14" ht="33.6" customHeight="1" x14ac:dyDescent="0.25">
      <c r="A31" s="3">
        <v>13</v>
      </c>
      <c r="B31" s="11" t="s">
        <v>12</v>
      </c>
      <c r="C31" s="11"/>
      <c r="D31" s="11"/>
      <c r="E31" s="11"/>
      <c r="F31" s="11"/>
      <c r="G31" s="11"/>
      <c r="H31" s="11" t="s">
        <v>12</v>
      </c>
      <c r="I31" s="3"/>
      <c r="J31" s="3"/>
      <c r="K31" s="10" t="s">
        <v>52</v>
      </c>
      <c r="L31" s="3">
        <v>1</v>
      </c>
      <c r="M31" s="3" t="s">
        <v>99</v>
      </c>
      <c r="N31" s="3"/>
    </row>
    <row r="32" spans="1:14" ht="33.6" customHeight="1" x14ac:dyDescent="0.25">
      <c r="A32" s="3">
        <v>14</v>
      </c>
      <c r="B32" s="11" t="s">
        <v>12</v>
      </c>
      <c r="C32" s="11"/>
      <c r="D32" s="11"/>
      <c r="E32" s="11"/>
      <c r="F32" s="11"/>
      <c r="G32" s="11"/>
      <c r="H32" s="11" t="s">
        <v>12</v>
      </c>
      <c r="I32" s="3"/>
      <c r="J32" s="3"/>
      <c r="K32" s="10" t="s">
        <v>102</v>
      </c>
      <c r="L32" s="3">
        <v>1</v>
      </c>
      <c r="M32" s="3" t="s">
        <v>99</v>
      </c>
      <c r="N32" s="3"/>
    </row>
    <row r="33" spans="1:14" ht="33.6" customHeight="1" x14ac:dyDescent="0.25">
      <c r="A33" s="3">
        <v>15</v>
      </c>
      <c r="B33" s="11" t="s">
        <v>12</v>
      </c>
      <c r="C33" s="11"/>
      <c r="D33" s="11"/>
      <c r="E33" s="11"/>
      <c r="F33" s="11"/>
      <c r="G33" s="11"/>
      <c r="H33" s="11"/>
      <c r="I33" s="11" t="s">
        <v>12</v>
      </c>
      <c r="J33" s="11"/>
      <c r="K33" s="10" t="s">
        <v>75</v>
      </c>
      <c r="L33" s="3">
        <v>2</v>
      </c>
      <c r="M33" s="3" t="s">
        <v>100</v>
      </c>
      <c r="N33" s="3"/>
    </row>
    <row r="34" spans="1:14" ht="33.6" customHeight="1" x14ac:dyDescent="0.25">
      <c r="A34" s="3">
        <v>16</v>
      </c>
      <c r="B34" s="11" t="s">
        <v>12</v>
      </c>
      <c r="C34" s="11"/>
      <c r="D34" s="11"/>
      <c r="E34" s="11"/>
      <c r="F34" s="11"/>
      <c r="G34" s="11"/>
      <c r="H34" s="11"/>
      <c r="I34" s="11"/>
      <c r="J34" s="11" t="s">
        <v>12</v>
      </c>
      <c r="K34" s="10" t="s">
        <v>7</v>
      </c>
      <c r="L34" s="3">
        <v>1</v>
      </c>
      <c r="M34" s="3" t="s">
        <v>99</v>
      </c>
      <c r="N34" s="3"/>
    </row>
    <row r="35" spans="1:14" ht="33.6" customHeight="1" x14ac:dyDescent="0.25">
      <c r="A35" s="3">
        <v>17</v>
      </c>
      <c r="B35" s="11" t="s">
        <v>12</v>
      </c>
      <c r="C35" s="11"/>
      <c r="D35" s="11"/>
      <c r="E35" s="11"/>
      <c r="F35" s="11"/>
      <c r="G35" s="11"/>
      <c r="H35" s="11"/>
      <c r="I35" s="11"/>
      <c r="J35" s="11" t="s">
        <v>12</v>
      </c>
      <c r="K35" s="10" t="str">
        <f>"Locker No. "&amp;VLOOKUP($N$3,[2]!Tabla8[#All],3,0)</f>
        <v>Locker No. 57</v>
      </c>
      <c r="L35" s="3">
        <v>1</v>
      </c>
      <c r="M35" s="3" t="s">
        <v>99</v>
      </c>
      <c r="N35" s="3"/>
    </row>
    <row r="36" spans="1:14" ht="33.6" customHeight="1" x14ac:dyDescent="0.25">
      <c r="A36" s="3">
        <v>18</v>
      </c>
      <c r="B36" s="11" t="s">
        <v>12</v>
      </c>
      <c r="C36" s="11"/>
      <c r="D36" s="11"/>
      <c r="E36" s="11"/>
      <c r="F36" s="11"/>
      <c r="G36" s="11"/>
      <c r="H36" s="11"/>
      <c r="I36" s="11"/>
      <c r="J36" s="11" t="s">
        <v>12</v>
      </c>
      <c r="K36" s="10" t="s">
        <v>98</v>
      </c>
      <c r="L36" s="3">
        <v>1</v>
      </c>
      <c r="M36" s="3" t="s">
        <v>99</v>
      </c>
      <c r="N36" s="3"/>
    </row>
    <row r="37" spans="1:14" ht="33.6" customHeight="1" x14ac:dyDescent="0.2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7"/>
      <c r="L37" s="35"/>
      <c r="M37" s="35"/>
      <c r="N37" s="35"/>
    </row>
    <row r="38" spans="1:14" ht="33.6" customHeight="1" x14ac:dyDescent="0.25">
      <c r="A38" s="3"/>
      <c r="B38" s="11"/>
      <c r="C38" s="11"/>
      <c r="D38" s="11"/>
      <c r="E38" s="11"/>
      <c r="F38" s="11"/>
      <c r="G38" s="3"/>
      <c r="H38" s="3"/>
      <c r="I38" s="3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M8:N8"/>
    <mergeCell ref="B9:F9"/>
    <mergeCell ref="G8:L8"/>
    <mergeCell ref="M9:N9"/>
    <mergeCell ref="A52:N52"/>
    <mergeCell ref="G9:L9"/>
    <mergeCell ref="B12:F12"/>
    <mergeCell ref="G12:L12"/>
    <mergeCell ref="M12:N12"/>
    <mergeCell ref="A14:N14"/>
    <mergeCell ref="E50:N50"/>
    <mergeCell ref="A51:N51"/>
    <mergeCell ref="B10:F10"/>
    <mergeCell ref="G10:L10"/>
    <mergeCell ref="M10:N10"/>
    <mergeCell ref="B11:F11"/>
    <mergeCell ref="G11:L11"/>
    <mergeCell ref="M11:N11"/>
  </mergeCells>
  <hyperlinks>
    <hyperlink ref="N3" location="Activo26!A1" display="Activo26!A1" xr:uid="{25104BA7-1522-46F8-BF72-27BD482911EC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C68-6776-4BB5-9DE8-F1D5BAA58E46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ABRAHAM ROSALES DIONICIO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263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54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C875FC5F-052D-44E7-86F8-44B70C5EAB3A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EFAB-D060-4D6A-8257-D2DF18521C16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ZABDI GARCÍA LAGUNA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266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66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3E6664B8-2163-42A4-87C4-62C8579E183A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D85E-1F3A-4A0C-823B-B170CBA01570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LUIS ALBERTO MEDINA SAAVEDRA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278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18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D037CDAD-D600-42A0-9332-A1F00FF7A51D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2080-408E-48EB-A217-FAC5F4FAC6E8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17" sqref="K17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JUAN CARLOS ARANDA DE JESÚS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281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65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EC72F227-D1CB-47D9-8D89-9FC7E390A0E2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EB85-E1A8-4328-9E79-24EC6FD3951E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JUAN CARLOS VARGAS CAZARES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293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84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65608858-C67D-441E-B480-78E8AED65484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3A63-914D-4E07-AA7A-F85E689213EB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JOSÉ CARLOS CRUZ PARRA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295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29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E6571D74-7182-4D60-9063-74A8FF184CFC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6342-1177-4ECC-8E6B-1252D7DD5FE8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ASAEL SURIST HERNÁNDEZ ROMERO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299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81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214C9FCD-7E3E-4CE7-B1C4-80801751F77B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B549-464F-495D-A266-98224E2FEE29}">
  <sheetPr>
    <tabColor rgb="FF9C9B9B"/>
  </sheetPr>
  <dimension ref="A1:N192"/>
  <sheetViews>
    <sheetView view="pageBreakPreview" topLeftCell="A31" zoomScale="90" zoomScaleNormal="90" zoomScaleSheetLayoutView="90" zoomScalePageLayoutView="80" workbookViewId="0">
      <selection activeCell="N18" sqref="N18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LUIS ENRIQUE MARTÍNEZ FRANCO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310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">
        <v>49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 t="s">
        <v>12</v>
      </c>
      <c r="B9" s="48" t="s">
        <v>79</v>
      </c>
      <c r="C9" s="48"/>
      <c r="D9" s="48"/>
      <c r="E9" s="48"/>
      <c r="F9" s="48"/>
      <c r="G9" s="48" t="str">
        <f>VLOOKUP(N3,[1]Activo26!B2:E164,4,0)</f>
        <v>ACA - Auditor de Calidad - Proceso</v>
      </c>
      <c r="H9" s="48"/>
      <c r="I9" s="48"/>
      <c r="J9" s="48"/>
      <c r="K9" s="48"/>
      <c r="L9" s="48"/>
      <c r="M9" s="54">
        <v>46174</v>
      </c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 t="s">
        <v>12</v>
      </c>
      <c r="F17" s="11"/>
      <c r="G17" s="11"/>
      <c r="H17" s="11"/>
      <c r="I17" s="11"/>
      <c r="J17" s="11"/>
      <c r="K17" s="10" t="s">
        <v>93</v>
      </c>
      <c r="L17" s="3">
        <v>1</v>
      </c>
      <c r="M17" s="3" t="s">
        <v>99</v>
      </c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 t="s">
        <v>12</v>
      </c>
      <c r="F18" s="11"/>
      <c r="G18" s="11"/>
      <c r="H18" s="11"/>
      <c r="I18" s="11"/>
      <c r="J18" s="11"/>
      <c r="K18" s="41" t="s">
        <v>101</v>
      </c>
      <c r="L18" s="3">
        <v>1</v>
      </c>
      <c r="M18" s="3" t="s">
        <v>99</v>
      </c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 t="s">
        <v>12</v>
      </c>
      <c r="F19" s="11"/>
      <c r="G19" s="11"/>
      <c r="H19" s="11"/>
      <c r="I19" s="11"/>
      <c r="J19" s="11"/>
      <c r="K19" s="10" t="s">
        <v>95</v>
      </c>
      <c r="L19" s="3">
        <v>1</v>
      </c>
      <c r="M19" s="3" t="s">
        <v>99</v>
      </c>
      <c r="N19" s="3"/>
    </row>
    <row r="20" spans="1:14" ht="33.6" customHeight="1" x14ac:dyDescent="0.25">
      <c r="A20" s="3">
        <v>2</v>
      </c>
      <c r="B20" s="11" t="s">
        <v>12</v>
      </c>
      <c r="C20" s="11"/>
      <c r="D20" s="11"/>
      <c r="E20" s="11" t="s">
        <v>12</v>
      </c>
      <c r="F20" s="11"/>
      <c r="G20" s="11"/>
      <c r="H20" s="11"/>
      <c r="I20" s="11"/>
      <c r="J20" s="11"/>
      <c r="K20" s="10" t="s">
        <v>96</v>
      </c>
      <c r="L20" s="3">
        <v>1</v>
      </c>
      <c r="M20" s="3" t="s">
        <v>99</v>
      </c>
      <c r="N20" s="3"/>
    </row>
    <row r="21" spans="1:14" ht="33.6" customHeight="1" x14ac:dyDescent="0.25">
      <c r="A21" s="3">
        <v>3</v>
      </c>
      <c r="B21" s="11" t="s">
        <v>12</v>
      </c>
      <c r="C21" s="11"/>
      <c r="D21" s="11"/>
      <c r="E21" s="11"/>
      <c r="F21" s="11" t="s">
        <v>12</v>
      </c>
      <c r="G21" s="11"/>
      <c r="H21" s="11"/>
      <c r="I21" s="11"/>
      <c r="J21" s="11"/>
      <c r="K21" s="10" t="s">
        <v>33</v>
      </c>
      <c r="L21" s="3">
        <v>1</v>
      </c>
      <c r="M21" s="3" t="s">
        <v>99</v>
      </c>
      <c r="N21" s="3"/>
    </row>
    <row r="22" spans="1:14" ht="33.6" customHeight="1" x14ac:dyDescent="0.25">
      <c r="A22" s="3">
        <v>4</v>
      </c>
      <c r="B22" s="11" t="s">
        <v>12</v>
      </c>
      <c r="C22" s="11"/>
      <c r="D22" s="11"/>
      <c r="E22" s="11"/>
      <c r="F22" s="11"/>
      <c r="G22" s="11"/>
      <c r="H22" s="11" t="s">
        <v>12</v>
      </c>
      <c r="I22" s="11"/>
      <c r="J22" s="11"/>
      <c r="K22" s="10" t="s">
        <v>53</v>
      </c>
      <c r="L22" s="3">
        <v>1</v>
      </c>
      <c r="M22" s="3" t="s">
        <v>99</v>
      </c>
      <c r="N22" s="3"/>
    </row>
    <row r="23" spans="1:14" ht="33.6" customHeight="1" x14ac:dyDescent="0.25">
      <c r="A23" s="3">
        <v>5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8</v>
      </c>
      <c r="L23" s="3">
        <v>2</v>
      </c>
      <c r="M23" s="3" t="s">
        <v>100</v>
      </c>
      <c r="N23" s="3"/>
    </row>
    <row r="24" spans="1:14" ht="33.6" customHeight="1" x14ac:dyDescent="0.25">
      <c r="A24" s="3">
        <v>6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9</v>
      </c>
      <c r="L24" s="3">
        <v>1</v>
      </c>
      <c r="M24" s="3" t="s">
        <v>99</v>
      </c>
      <c r="N24" s="3"/>
    </row>
    <row r="25" spans="1:14" ht="33.6" customHeight="1" x14ac:dyDescent="0.25">
      <c r="A25" s="3">
        <v>7</v>
      </c>
      <c r="B25" s="11" t="s">
        <v>12</v>
      </c>
      <c r="C25" s="11"/>
      <c r="D25" s="11"/>
      <c r="E25" s="11"/>
      <c r="F25" s="11"/>
      <c r="G25" s="11" t="s">
        <v>12</v>
      </c>
      <c r="H25" s="11"/>
      <c r="I25" s="11"/>
      <c r="J25" s="11"/>
      <c r="K25" s="10" t="s">
        <v>10</v>
      </c>
      <c r="L25" s="3">
        <v>3</v>
      </c>
      <c r="M25" s="3" t="s">
        <v>100</v>
      </c>
      <c r="N25" s="3"/>
    </row>
    <row r="26" spans="1:14" ht="33.6" customHeight="1" x14ac:dyDescent="0.25">
      <c r="A26" s="3">
        <v>8</v>
      </c>
      <c r="B26" s="11" t="s">
        <v>12</v>
      </c>
      <c r="C26" s="11"/>
      <c r="D26" s="11"/>
      <c r="E26" s="11"/>
      <c r="F26" s="11"/>
      <c r="G26" s="11" t="s">
        <v>12</v>
      </c>
      <c r="H26" s="11"/>
      <c r="I26" s="11"/>
      <c r="J26" s="11"/>
      <c r="K26" s="10" t="s">
        <v>94</v>
      </c>
      <c r="L26" s="3">
        <v>1</v>
      </c>
      <c r="M26" s="3" t="s">
        <v>99</v>
      </c>
      <c r="N26" s="3"/>
    </row>
    <row r="27" spans="1:14" ht="33.6" customHeight="1" x14ac:dyDescent="0.25">
      <c r="A27" s="3">
        <v>9</v>
      </c>
      <c r="B27" s="11" t="s">
        <v>12</v>
      </c>
      <c r="C27" s="11"/>
      <c r="D27" s="11"/>
      <c r="E27" s="11"/>
      <c r="F27" s="11"/>
      <c r="G27" s="11"/>
      <c r="H27" s="11" t="s">
        <v>12</v>
      </c>
      <c r="I27" s="3"/>
      <c r="J27" s="3"/>
      <c r="K27" s="10" t="s">
        <v>97</v>
      </c>
      <c r="L27" s="3">
        <v>1</v>
      </c>
      <c r="M27" s="3" t="s">
        <v>99</v>
      </c>
      <c r="N27" s="3"/>
    </row>
    <row r="28" spans="1:14" ht="33.6" customHeight="1" x14ac:dyDescent="0.25">
      <c r="A28" s="3">
        <v>10</v>
      </c>
      <c r="B28" s="11" t="s">
        <v>12</v>
      </c>
      <c r="C28" s="11"/>
      <c r="D28" s="11"/>
      <c r="E28" s="11"/>
      <c r="F28" s="11"/>
      <c r="G28" s="11"/>
      <c r="H28" s="11" t="s">
        <v>12</v>
      </c>
      <c r="I28" s="3"/>
      <c r="J28" s="3"/>
      <c r="K28" s="10" t="s">
        <v>83</v>
      </c>
      <c r="L28" s="3">
        <v>1</v>
      </c>
      <c r="M28" s="3" t="s">
        <v>99</v>
      </c>
      <c r="N28" s="3"/>
    </row>
    <row r="29" spans="1:14" ht="33.6" customHeight="1" x14ac:dyDescent="0.25">
      <c r="A29" s="3">
        <v>11</v>
      </c>
      <c r="B29" s="11" t="s">
        <v>12</v>
      </c>
      <c r="C29" s="11"/>
      <c r="D29" s="11"/>
      <c r="E29" s="11"/>
      <c r="F29" s="11"/>
      <c r="G29" s="11"/>
      <c r="H29" s="11" t="s">
        <v>12</v>
      </c>
      <c r="I29" s="3"/>
      <c r="J29" s="3"/>
      <c r="K29" s="10" t="s">
        <v>103</v>
      </c>
      <c r="L29" s="3">
        <v>1</v>
      </c>
      <c r="M29" s="3" t="s">
        <v>99</v>
      </c>
      <c r="N29" s="3"/>
    </row>
    <row r="30" spans="1:14" ht="33.6" customHeight="1" x14ac:dyDescent="0.25">
      <c r="A30" s="3">
        <v>12</v>
      </c>
      <c r="B30" s="11" t="s">
        <v>12</v>
      </c>
      <c r="C30" s="11"/>
      <c r="D30" s="11"/>
      <c r="E30" s="11"/>
      <c r="F30" s="11"/>
      <c r="G30" s="11"/>
      <c r="H30" s="11" t="s">
        <v>12</v>
      </c>
      <c r="I30" s="3"/>
      <c r="J30" s="3"/>
      <c r="K30" s="10" t="s">
        <v>2</v>
      </c>
      <c r="L30" s="3">
        <v>1</v>
      </c>
      <c r="M30" s="3" t="s">
        <v>99</v>
      </c>
      <c r="N30" s="3"/>
    </row>
    <row r="31" spans="1:14" ht="33.6" customHeight="1" x14ac:dyDescent="0.25">
      <c r="A31" s="3">
        <v>13</v>
      </c>
      <c r="B31" s="11" t="s">
        <v>12</v>
      </c>
      <c r="C31" s="11"/>
      <c r="D31" s="11"/>
      <c r="E31" s="11"/>
      <c r="F31" s="11"/>
      <c r="G31" s="11"/>
      <c r="H31" s="11" t="s">
        <v>12</v>
      </c>
      <c r="I31" s="3"/>
      <c r="J31" s="3"/>
      <c r="K31" s="10" t="s">
        <v>52</v>
      </c>
      <c r="L31" s="3">
        <v>1</v>
      </c>
      <c r="M31" s="3" t="s">
        <v>99</v>
      </c>
      <c r="N31" s="3"/>
    </row>
    <row r="32" spans="1:14" ht="33.6" customHeight="1" x14ac:dyDescent="0.25">
      <c r="A32" s="3">
        <v>14</v>
      </c>
      <c r="B32" s="11" t="s">
        <v>12</v>
      </c>
      <c r="C32" s="11"/>
      <c r="D32" s="11"/>
      <c r="E32" s="11"/>
      <c r="F32" s="11"/>
      <c r="G32" s="11"/>
      <c r="H32" s="11" t="s">
        <v>12</v>
      </c>
      <c r="I32" s="3"/>
      <c r="J32" s="3"/>
      <c r="K32" s="10" t="s">
        <v>102</v>
      </c>
      <c r="L32" s="3">
        <v>1</v>
      </c>
      <c r="M32" s="3" t="s">
        <v>99</v>
      </c>
      <c r="N32" s="3"/>
    </row>
    <row r="33" spans="1:14" ht="33.6" customHeight="1" x14ac:dyDescent="0.25">
      <c r="A33" s="3">
        <v>15</v>
      </c>
      <c r="B33" s="11" t="s">
        <v>12</v>
      </c>
      <c r="C33" s="11"/>
      <c r="D33" s="11"/>
      <c r="E33" s="11"/>
      <c r="F33" s="11"/>
      <c r="G33" s="11"/>
      <c r="H33" s="11"/>
      <c r="I33" s="11" t="s">
        <v>12</v>
      </c>
      <c r="J33" s="11"/>
      <c r="K33" s="10" t="s">
        <v>75</v>
      </c>
      <c r="L33" s="3">
        <v>2</v>
      </c>
      <c r="M33" s="3" t="s">
        <v>100</v>
      </c>
      <c r="N33" s="3"/>
    </row>
    <row r="34" spans="1:14" ht="33.6" customHeight="1" x14ac:dyDescent="0.25">
      <c r="A34" s="3">
        <v>16</v>
      </c>
      <c r="B34" s="11" t="s">
        <v>12</v>
      </c>
      <c r="C34" s="11"/>
      <c r="D34" s="11"/>
      <c r="E34" s="11"/>
      <c r="F34" s="11"/>
      <c r="G34" s="11"/>
      <c r="H34" s="11"/>
      <c r="I34" s="11"/>
      <c r="J34" s="11" t="s">
        <v>12</v>
      </c>
      <c r="K34" s="10" t="s">
        <v>7</v>
      </c>
      <c r="L34" s="3">
        <v>1</v>
      </c>
      <c r="M34" s="3" t="s">
        <v>99</v>
      </c>
      <c r="N34" s="3"/>
    </row>
    <row r="35" spans="1:14" ht="33.6" customHeight="1" x14ac:dyDescent="0.25">
      <c r="A35" s="3">
        <v>17</v>
      </c>
      <c r="B35" s="11" t="s">
        <v>12</v>
      </c>
      <c r="C35" s="11"/>
      <c r="D35" s="11"/>
      <c r="E35" s="11"/>
      <c r="F35" s="11"/>
      <c r="G35" s="11"/>
      <c r="H35" s="11"/>
      <c r="I35" s="11"/>
      <c r="J35" s="11" t="s">
        <v>12</v>
      </c>
      <c r="K35" s="10" t="str">
        <f>"Locker No. "&amp;VLOOKUP($N$3,[2]!Tabla8[#All],3,0)</f>
        <v>Locker No. 147</v>
      </c>
      <c r="L35" s="3">
        <v>1</v>
      </c>
      <c r="M35" s="3" t="s">
        <v>99</v>
      </c>
      <c r="N35" s="3"/>
    </row>
    <row r="36" spans="1:14" ht="33.6" customHeight="1" x14ac:dyDescent="0.25">
      <c r="A36" s="3">
        <v>18</v>
      </c>
      <c r="B36" s="11" t="s">
        <v>12</v>
      </c>
      <c r="C36" s="11"/>
      <c r="D36" s="11"/>
      <c r="E36" s="11"/>
      <c r="F36" s="11"/>
      <c r="G36" s="11"/>
      <c r="H36" s="11"/>
      <c r="I36" s="11"/>
      <c r="J36" s="11" t="s">
        <v>12</v>
      </c>
      <c r="K36" s="10" t="s">
        <v>98</v>
      </c>
      <c r="L36" s="3">
        <v>1</v>
      </c>
      <c r="M36" s="3" t="s">
        <v>99</v>
      </c>
      <c r="N36" s="3"/>
    </row>
    <row r="37" spans="1:14" ht="33.6" customHeight="1" x14ac:dyDescent="0.2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7"/>
      <c r="L37" s="35"/>
      <c r="M37" s="35"/>
      <c r="N37" s="35"/>
    </row>
    <row r="38" spans="1:14" ht="33.6" customHeight="1" x14ac:dyDescent="0.25">
      <c r="A38" s="3"/>
      <c r="B38" s="11"/>
      <c r="C38" s="11"/>
      <c r="D38" s="11"/>
      <c r="E38" s="11"/>
      <c r="F38" s="11"/>
      <c r="G38" s="3"/>
      <c r="H38" s="3"/>
      <c r="I38" s="3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52:N52"/>
    <mergeCell ref="G8:L8"/>
    <mergeCell ref="B12:F12"/>
    <mergeCell ref="G12:L12"/>
    <mergeCell ref="M12:N12"/>
    <mergeCell ref="A14:N14"/>
    <mergeCell ref="E50:N50"/>
    <mergeCell ref="A51:N51"/>
    <mergeCell ref="B10:F10"/>
    <mergeCell ref="G10:L10"/>
    <mergeCell ref="M10:N10"/>
    <mergeCell ref="B11:F11"/>
    <mergeCell ref="G11:L11"/>
    <mergeCell ref="M11:N11"/>
    <mergeCell ref="B8:F8"/>
    <mergeCell ref="G9:L9"/>
    <mergeCell ref="M8:N8"/>
    <mergeCell ref="B9:F9"/>
    <mergeCell ref="M9:N9"/>
    <mergeCell ref="A1:N1"/>
    <mergeCell ref="A3:D3"/>
    <mergeCell ref="E3:K3"/>
    <mergeCell ref="L3:M3"/>
    <mergeCell ref="A5:N5"/>
    <mergeCell ref="A7:F7"/>
    <mergeCell ref="G7:L7"/>
    <mergeCell ref="M7:N7"/>
  </mergeCells>
  <hyperlinks>
    <hyperlink ref="N3" location="Activo26!A1" display="Activo26!A1" xr:uid="{5FEA1719-AE9D-4440-A1CF-A9F34EF7C595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8B8F-749D-47F6-8E21-B13C19F8EB45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K20" sqref="K20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JOEL ABRAHAM SUÁREZ LIMONES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351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10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E22FAF23-5E3C-4991-9790-244C0B4F30EB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7FE0-3C78-4090-B76A-49550D0036A9}">
  <sheetPr>
    <tabColor rgb="FF00B0F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EDUARDO ALBERTO REZA PEDRAZA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362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AXE - Auxiliar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88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2E856A3B-157C-41D6-919B-080AA863EDCB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212B-4701-4CB7-8CD9-8EEF4869BE8B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e">
        <f>VLOOKUP(N3,[1]Activo26!B2:E164,2,0)</f>
        <v>#N/A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368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e">
        <f>VLOOKUP(N3,[1]Activo26!B2:E164,4,0)</f>
        <v>#N/A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e">
        <f>"Locker No. "&amp;VLOOKUP($N$3,[2]!Tabla8[#All],3,0)</f>
        <v>#N/A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3F3B9CC6-65CA-40B4-BF63-94F35D0F8490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C451-FA79-4756-8F39-B5CFDE5EA485}">
  <sheetPr>
    <tabColor rgb="FF00B0F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JULIO CÉSAR HERNÁNDEZ MÁRQUEZ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371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AXE - Auxiliar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128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51C7CB56-4F5C-4B6C-9507-6754893989D2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AB2A-34C3-495E-92F3-7BFB1CFC7009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SANDRA JARDINEZ LUQUEÑO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373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PLI - Personal de Limpieza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12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110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 t="s">
        <v>12</v>
      </c>
      <c r="J26" s="11"/>
      <c r="K26" s="10" t="s">
        <v>111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">
        <v>112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AB6D175A-46F3-47FD-9B82-42BB7522C144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2AD9-4245-42D3-9954-359995530E29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JOSÉ LUIS PÉREZ RAMÍREZ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376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70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7384FFD7-03CC-43CB-9B46-77A21CE226D6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932A-C863-40A0-9FDC-CE82C9BF8CE6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 xml:space="preserve">ALEJANDRO ATENCO FRANCO 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385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75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0F488585-E5BC-4094-AD8E-0EE3B521E094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FCCA-E6FA-459C-9237-71706D0E2418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JONATHAN URIEL MORALES MARTÍNEZ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397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32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901DA11C-A925-467E-AB32-632D5B9D4728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13C6-6FC9-4D15-9062-6EAEB424716E}">
  <sheetPr>
    <tabColor rgb="FF00B0F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LORENZO ANTONIO RAMÍREZ QUINTANA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428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AXE - Auxiliar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14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98189FA8-2C38-463B-8690-0100A92DAA5F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632A-B0C3-4FAD-B595-6097CF451EE1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CARLOS MANUEL FRAGOSO ROJAS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435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56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E41BA01D-5B42-4D3B-81B6-2605533E81B5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69A2-BFCF-44F9-8A14-B8387E9CB783}">
  <sheetPr>
    <tabColor rgb="FF00B0F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ISRAEL LIRA CAMPOS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471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AXE - Auxiliar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59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D1CDA0ED-9CEF-4722-BBF7-329FD7FFD111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4B70-ED24-42ED-B4DE-E6B645274F71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MARTÍN CRUZ CAMACHO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506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107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BA00B7C2-2521-4C0A-AF00-16D3FE9762E8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B44A-97AF-4E61-9C7F-EC8D2AB2CCF7}">
  <sheetPr>
    <tabColor rgb="FF00B0F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BERNARDO ORDÓÑEZ VERA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509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AXE - Auxiliar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80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A996E87D-E508-43D8-8B23-F07258A82252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96A0-D025-430C-BC11-349EF0934111}">
  <sheetPr>
    <tabColor rgb="FF00B0F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MIGUEL ÁNGEL VILLEGAS AJAL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515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AXE - Auxiliar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93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BA3D3C2D-6D4E-4076-A990-E5BDCB76564D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F54C-8320-487B-A01A-57391681F4FD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ISHWARI MONTER HERNÁNDEZ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534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115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8C35E906-DFCA-4A6B-92E4-C61EE42B74F8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9B4B-104D-48DD-AAD1-3BCD6B7E13E8}">
  <sheetPr>
    <tabColor rgb="FF00B0F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 xml:space="preserve">JOSÉ ALBERTO RUIZ ISLAS 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537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AXE - Auxiliar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117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7F464A5F-1CC1-4DAE-B4DD-5FAFAF5ED1EA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3CFB-E34C-4B63-AE52-5546FC337493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DANIEL CAYETANO ESPITIA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552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68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90393E7B-6760-44D2-A920-E9A907775706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FF0F-D76E-47DA-8EDD-238C7888F92E}">
  <sheetPr>
    <tabColor rgb="FF00B0F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JORGE JAZIEL CHAVEZ MERCADO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607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AXE - Auxiliar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134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B917D3EC-EC4F-4107-B44A-772AAA0393AC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6AC2-7A28-485D-BD78-34FABFA6A19B}">
  <sheetPr>
    <tabColor rgb="FF00B0F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ÓSCAR SANDOVAL MALDONADO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626</v>
      </c>
    </row>
    <row r="4" spans="1:14" ht="4.95" customHeight="1" x14ac:dyDescent="0.25">
      <c r="N4" s="38"/>
    </row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AXE - Auxiliar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87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49C4D382-2182-4184-8064-75446A545AB0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D032-13AE-435A-8D18-F068C8F23F06}">
  <sheetPr>
    <tabColor rgb="FF9C9B9B"/>
  </sheetPr>
  <dimension ref="A1:N192"/>
  <sheetViews>
    <sheetView view="pageLayout" zoomScale="80" zoomScaleNormal="90" zoomScaleSheetLayoutView="90" zoomScalePageLayoutView="80" workbookViewId="0">
      <selection activeCell="K28" sqref="K28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PEDRO ENRIQUE MORENO RUIZ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647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TME - Técnico en Mantenimiento Eléctrico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4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76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74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2CC152DE-EF1D-4D87-B107-B1CE858AE94D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4E59-D800-4956-B47F-3F1D4FE2B70E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JUAN DANIEL MENDOZA GARCÍA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650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109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8D98BA95-3411-41C7-B302-CBFC55070F57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32EF-865C-4C63-9CB4-08C03C29491B}">
  <sheetPr>
    <tabColor rgb="FF00B050"/>
  </sheetPr>
  <dimension ref="A1:N192"/>
  <sheetViews>
    <sheetView view="pageBreakPreview" zoomScale="9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BRYAM ALBERTO MANZUR MIMILA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657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">
        <v>48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 t="s">
        <v>12</v>
      </c>
      <c r="B9" s="48" t="s">
        <v>79</v>
      </c>
      <c r="C9" s="48"/>
      <c r="D9" s="48"/>
      <c r="E9" s="48"/>
      <c r="F9" s="48"/>
      <c r="G9" s="48" t="s">
        <v>47</v>
      </c>
      <c r="H9" s="48"/>
      <c r="I9" s="48"/>
      <c r="J9" s="48"/>
      <c r="K9" s="48"/>
      <c r="L9" s="48"/>
      <c r="M9" s="54">
        <v>46132</v>
      </c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 t="s">
        <v>12</v>
      </c>
      <c r="F17" s="11"/>
      <c r="G17" s="11"/>
      <c r="H17" s="11"/>
      <c r="I17" s="11"/>
      <c r="J17" s="11"/>
      <c r="K17" s="10" t="s">
        <v>37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 t="s">
        <v>12</v>
      </c>
      <c r="F18" s="11"/>
      <c r="G18" s="11"/>
      <c r="H18" s="11"/>
      <c r="I18" s="11"/>
      <c r="J18" s="11"/>
      <c r="K18" s="10" t="s">
        <v>38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35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 t="s">
        <v>12</v>
      </c>
      <c r="G20" s="11"/>
      <c r="H20" s="11"/>
      <c r="I20" s="11"/>
      <c r="J20" s="11"/>
      <c r="K20" s="10" t="s">
        <v>34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 t="s">
        <v>12</v>
      </c>
      <c r="G21" s="11"/>
      <c r="H21" s="11"/>
      <c r="I21" s="11"/>
      <c r="J21" s="11"/>
      <c r="K21" s="10" t="s">
        <v>33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 t="s">
        <v>12</v>
      </c>
      <c r="I22" s="11"/>
      <c r="J22" s="11"/>
      <c r="K22" s="10" t="s">
        <v>78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 t="s">
        <v>12</v>
      </c>
      <c r="I23" s="11"/>
      <c r="J23" s="11"/>
      <c r="K23" s="10" t="s">
        <v>80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 t="s">
        <v>12</v>
      </c>
      <c r="I24" s="11"/>
      <c r="J24" s="11"/>
      <c r="K24" s="10" t="s">
        <v>81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 t="s">
        <v>12</v>
      </c>
      <c r="I25" s="11"/>
      <c r="J25" s="11"/>
      <c r="K25" s="10" t="s">
        <v>2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 t="s">
        <v>12</v>
      </c>
      <c r="I26" s="11"/>
      <c r="J26" s="11"/>
      <c r="K26" s="10" t="s">
        <v>52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 t="s">
        <v>12</v>
      </c>
      <c r="I27" s="11"/>
      <c r="J27" s="11"/>
      <c r="K27" s="10" t="s">
        <v>53</v>
      </c>
      <c r="L27" s="3"/>
      <c r="M27" s="3"/>
      <c r="N27" s="3"/>
    </row>
    <row r="28" spans="1:14" ht="33.6" customHeight="1" x14ac:dyDescent="0.25">
      <c r="A28" s="3">
        <v>12</v>
      </c>
      <c r="B28" s="11" t="s">
        <v>12</v>
      </c>
      <c r="C28" s="11"/>
      <c r="D28" s="11"/>
      <c r="E28" s="11"/>
      <c r="F28" s="11"/>
      <c r="G28" s="11" t="s">
        <v>12</v>
      </c>
      <c r="H28" s="11"/>
      <c r="I28" s="11"/>
      <c r="J28" s="11"/>
      <c r="K28" s="10" t="s">
        <v>8</v>
      </c>
      <c r="L28" s="3"/>
      <c r="M28" s="3"/>
      <c r="N28" s="3"/>
    </row>
    <row r="29" spans="1:14" ht="33.6" customHeight="1" x14ac:dyDescent="0.25">
      <c r="A29" s="3">
        <v>13</v>
      </c>
      <c r="B29" s="11" t="s">
        <v>12</v>
      </c>
      <c r="C29" s="11"/>
      <c r="D29" s="11"/>
      <c r="E29" s="11"/>
      <c r="F29" s="11"/>
      <c r="G29" s="11" t="s">
        <v>12</v>
      </c>
      <c r="H29" s="11"/>
      <c r="I29" s="11"/>
      <c r="J29" s="11"/>
      <c r="K29" s="10" t="s">
        <v>9</v>
      </c>
      <c r="L29" s="3"/>
      <c r="M29" s="3"/>
      <c r="N29" s="3"/>
    </row>
    <row r="30" spans="1:14" ht="33.6" customHeight="1" x14ac:dyDescent="0.25">
      <c r="A30" s="3">
        <v>14</v>
      </c>
      <c r="B30" s="11" t="s">
        <v>12</v>
      </c>
      <c r="C30" s="11"/>
      <c r="D30" s="11"/>
      <c r="E30" s="11"/>
      <c r="F30" s="11"/>
      <c r="G30" s="11" t="s">
        <v>12</v>
      </c>
      <c r="H30" s="11"/>
      <c r="I30" s="11"/>
      <c r="J30" s="11"/>
      <c r="K30" s="10" t="s">
        <v>10</v>
      </c>
      <c r="L30" s="3"/>
      <c r="M30" s="3"/>
      <c r="N30" s="3"/>
    </row>
    <row r="31" spans="1:14" ht="33.6" customHeight="1" x14ac:dyDescent="0.25">
      <c r="A31" s="3">
        <v>12</v>
      </c>
      <c r="B31" s="11" t="s">
        <v>12</v>
      </c>
      <c r="C31" s="11"/>
      <c r="D31" s="11"/>
      <c r="E31" s="11"/>
      <c r="F31" s="11"/>
      <c r="G31" s="11" t="s">
        <v>12</v>
      </c>
      <c r="H31" s="11"/>
      <c r="I31" s="11"/>
      <c r="J31" s="11"/>
      <c r="K31" s="10" t="s">
        <v>77</v>
      </c>
      <c r="L31" s="3"/>
      <c r="M31" s="3"/>
      <c r="N31" s="3"/>
    </row>
    <row r="32" spans="1:14" ht="33.6" customHeight="1" x14ac:dyDescent="0.25">
      <c r="A32" s="3">
        <v>13</v>
      </c>
      <c r="B32" s="11" t="s">
        <v>12</v>
      </c>
      <c r="C32" s="11"/>
      <c r="D32" s="11"/>
      <c r="E32" s="11"/>
      <c r="F32" s="11"/>
      <c r="G32" s="11"/>
      <c r="H32" s="11"/>
      <c r="I32" s="11" t="s">
        <v>12</v>
      </c>
      <c r="J32" s="11"/>
      <c r="K32" s="10" t="s">
        <v>75</v>
      </c>
      <c r="L32" s="3"/>
      <c r="M32" s="3"/>
      <c r="N32" s="3"/>
    </row>
    <row r="33" spans="1:14" ht="33.6" customHeight="1" x14ac:dyDescent="0.25">
      <c r="A33" s="3">
        <v>14</v>
      </c>
      <c r="B33" s="11" t="s">
        <v>12</v>
      </c>
      <c r="C33" s="11"/>
      <c r="D33" s="11"/>
      <c r="E33" s="11"/>
      <c r="F33" s="11"/>
      <c r="G33" s="11"/>
      <c r="H33" s="11"/>
      <c r="I33" s="11" t="s">
        <v>12</v>
      </c>
      <c r="J33" s="11"/>
      <c r="K33" s="10" t="s">
        <v>39</v>
      </c>
      <c r="L33" s="3"/>
      <c r="M33" s="3"/>
      <c r="N33" s="3"/>
    </row>
    <row r="34" spans="1:14" ht="33.6" customHeight="1" x14ac:dyDescent="0.25">
      <c r="A34" s="3">
        <v>15</v>
      </c>
      <c r="B34" s="11" t="s">
        <v>12</v>
      </c>
      <c r="C34" s="11"/>
      <c r="D34" s="11"/>
      <c r="E34" s="11"/>
      <c r="F34" s="11"/>
      <c r="G34" s="11"/>
      <c r="H34" s="11"/>
      <c r="I34" s="11"/>
      <c r="J34" s="11" t="s">
        <v>12</v>
      </c>
      <c r="K34" s="10" t="s">
        <v>7</v>
      </c>
      <c r="L34" s="3"/>
      <c r="M34" s="3"/>
      <c r="N34" s="3"/>
    </row>
    <row r="35" spans="1:14" ht="33.6" customHeight="1" x14ac:dyDescent="0.25">
      <c r="A35" s="35">
        <v>16</v>
      </c>
      <c r="B35" s="36" t="s">
        <v>12</v>
      </c>
      <c r="C35" s="36"/>
      <c r="D35" s="36"/>
      <c r="E35" s="36"/>
      <c r="F35" s="36"/>
      <c r="G35" s="36"/>
      <c r="H35" s="36"/>
      <c r="I35" s="36"/>
      <c r="J35" s="36" t="s">
        <v>12</v>
      </c>
      <c r="K35" s="37" t="str">
        <f>"Locker No. "&amp;VLOOKUP($N$3,[2]!Tabla8[#All],3,0)</f>
        <v>Locker No. 149</v>
      </c>
      <c r="L35" s="35"/>
      <c r="M35" s="35"/>
      <c r="N35" s="35"/>
    </row>
    <row r="36" spans="1:14" ht="33.6" customHeight="1" x14ac:dyDescent="0.25">
      <c r="A36" s="3">
        <v>17</v>
      </c>
      <c r="B36" s="11" t="s">
        <v>12</v>
      </c>
      <c r="C36" s="11"/>
      <c r="D36" s="11"/>
      <c r="E36" s="11"/>
      <c r="F36" s="11"/>
      <c r="G36" s="3"/>
      <c r="H36" s="3"/>
      <c r="I36" s="3"/>
      <c r="J36" s="11" t="s">
        <v>12</v>
      </c>
      <c r="K36" s="10" t="s">
        <v>82</v>
      </c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008053B5-C48E-4F7E-8896-72AD0F8DF9A0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16E8-9A4A-4EF5-84F1-AB560AD4E5A8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 xml:space="preserve">GRACIELA ÁNGELES TOLENTINO 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660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PLI - Personal de Limpieza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14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110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 t="s">
        <v>12</v>
      </c>
      <c r="J26" s="11"/>
      <c r="K26" s="10" t="s">
        <v>111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">
        <v>112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40E625DD-57C4-45F4-8363-D80D9565A9A8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7C0E-18D3-4B97-9246-C50B11DCC600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BRENDA GONZAGA HERNÁNDEZ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735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4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26593045-76DE-4A27-AC25-608342070B63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8CF7-DEC2-4249-BD3E-EA5BC090D7B3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MANUEL ÁNGEL BECERRA CASTELÁN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752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69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D771D1FE-3587-4D11-904D-806018ACF680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E6AA-532C-403D-BB44-AE0467438BB3}">
  <sheetPr>
    <tabColor rgb="FF9C9B9B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CÉSAR EDUARDO ESPINOSA BENGOA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767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">
        <v>48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 t="s">
        <v>12</v>
      </c>
      <c r="B9" s="48" t="s">
        <v>79</v>
      </c>
      <c r="C9" s="48"/>
      <c r="D9" s="48"/>
      <c r="E9" s="48"/>
      <c r="F9" s="48"/>
      <c r="G9" s="48" t="str">
        <f>VLOOKUP(N3,[1]Activo26!B2:E164,4,0)</f>
        <v>REN - Responsable de Enrollado</v>
      </c>
      <c r="H9" s="48"/>
      <c r="I9" s="48"/>
      <c r="J9" s="48"/>
      <c r="K9" s="48"/>
      <c r="L9" s="48"/>
      <c r="M9" s="54">
        <v>46160</v>
      </c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 t="s">
        <v>12</v>
      </c>
      <c r="F17" s="11"/>
      <c r="G17" s="11"/>
      <c r="H17" s="11"/>
      <c r="I17" s="11"/>
      <c r="J17" s="11"/>
      <c r="K17" s="10" t="s">
        <v>37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53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8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9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10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92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36" t="s">
        <v>12</v>
      </c>
      <c r="C26" s="36"/>
      <c r="D26" s="36"/>
      <c r="E26" s="36"/>
      <c r="F26" s="36"/>
      <c r="G26" s="36"/>
      <c r="H26" s="36"/>
      <c r="I26" s="36"/>
      <c r="J26" s="36" t="s">
        <v>12</v>
      </c>
      <c r="K26" s="37" t="str">
        <f>"Locker No. "&amp;VLOOKUP($N$3,[2]!Tabla8[#All],3,0)</f>
        <v>Locker No. 140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 t="s">
        <v>12</v>
      </c>
      <c r="J27" s="11"/>
      <c r="K27" s="10" t="s">
        <v>54</v>
      </c>
      <c r="L27" s="3"/>
      <c r="M27" s="3"/>
      <c r="N27" s="3"/>
    </row>
    <row r="28" spans="1:14" ht="33.6" customHeight="1" x14ac:dyDescent="0.25">
      <c r="A28" s="3">
        <v>12</v>
      </c>
      <c r="B28" s="11" t="s">
        <v>12</v>
      </c>
      <c r="C28" s="11"/>
      <c r="D28" s="11"/>
      <c r="E28" s="11"/>
      <c r="F28" s="11"/>
      <c r="G28" s="11"/>
      <c r="H28" s="11"/>
      <c r="I28" s="11" t="s">
        <v>12</v>
      </c>
      <c r="J28" s="11"/>
      <c r="K28" s="10" t="s">
        <v>105</v>
      </c>
      <c r="L28" s="3"/>
      <c r="M28" s="3"/>
      <c r="N28" s="3"/>
    </row>
    <row r="29" spans="1:14" ht="33.6" customHeight="1" x14ac:dyDescent="0.25">
      <c r="A29" s="3">
        <v>13</v>
      </c>
      <c r="B29" s="11" t="s">
        <v>12</v>
      </c>
      <c r="C29" s="11"/>
      <c r="D29" s="11"/>
      <c r="E29" s="11"/>
      <c r="F29" s="11" t="s">
        <v>12</v>
      </c>
      <c r="G29" s="11"/>
      <c r="H29" s="11"/>
      <c r="I29" s="11"/>
      <c r="J29" s="11"/>
      <c r="K29" s="10" t="s">
        <v>35</v>
      </c>
      <c r="L29" s="3"/>
      <c r="M29" s="3"/>
      <c r="N29" s="3"/>
    </row>
    <row r="30" spans="1:14" ht="33.6" customHeight="1" x14ac:dyDescent="0.25">
      <c r="A30" s="3">
        <v>14</v>
      </c>
      <c r="B30" s="11" t="s">
        <v>12</v>
      </c>
      <c r="C30" s="11"/>
      <c r="D30" s="11"/>
      <c r="E30" s="11"/>
      <c r="F30" s="11"/>
      <c r="G30" s="11"/>
      <c r="H30" s="11"/>
      <c r="I30" s="11"/>
      <c r="J30" s="11" t="s">
        <v>12</v>
      </c>
      <c r="K30" s="10" t="s">
        <v>106</v>
      </c>
      <c r="L30" s="3"/>
      <c r="M30" s="3"/>
      <c r="N30" s="3"/>
    </row>
    <row r="31" spans="1:14" ht="33.6" customHeight="1" x14ac:dyDescent="0.25">
      <c r="A31" s="3">
        <v>15</v>
      </c>
      <c r="B31" s="11" t="s">
        <v>12</v>
      </c>
      <c r="C31" s="11"/>
      <c r="D31" s="11"/>
      <c r="E31" s="11"/>
      <c r="F31" s="11"/>
      <c r="G31" s="11"/>
      <c r="H31" s="11"/>
      <c r="I31" s="11" t="s">
        <v>12</v>
      </c>
      <c r="J31" s="11"/>
      <c r="K31" s="10" t="s">
        <v>107</v>
      </c>
      <c r="L31" s="3"/>
      <c r="M31" s="3"/>
      <c r="N31" s="3"/>
    </row>
    <row r="32" spans="1:14" ht="33.6" customHeight="1" x14ac:dyDescent="0.25">
      <c r="A32" s="3">
        <v>16</v>
      </c>
      <c r="B32" s="11" t="s">
        <v>12</v>
      </c>
      <c r="C32" s="11"/>
      <c r="D32" s="11"/>
      <c r="E32" s="11"/>
      <c r="F32" s="11"/>
      <c r="G32" s="11"/>
      <c r="H32" s="11"/>
      <c r="I32" s="11" t="s">
        <v>12</v>
      </c>
      <c r="J32" s="11"/>
      <c r="K32" s="10" t="s">
        <v>108</v>
      </c>
      <c r="L32" s="3"/>
      <c r="M32" s="3"/>
      <c r="N32" s="3"/>
    </row>
    <row r="33" spans="1:14" ht="33.6" customHeight="1" x14ac:dyDescent="0.25">
      <c r="A33" s="3">
        <v>17</v>
      </c>
      <c r="B33" s="11" t="s">
        <v>12</v>
      </c>
      <c r="C33" s="11"/>
      <c r="D33" s="11"/>
      <c r="E33" s="11"/>
      <c r="F33" s="11"/>
      <c r="G33" s="11"/>
      <c r="H33" s="11"/>
      <c r="I33" s="11" t="s">
        <v>12</v>
      </c>
      <c r="J33" s="11"/>
      <c r="K33" s="41" t="s">
        <v>109</v>
      </c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7"/>
      <c r="L35" s="35"/>
      <c r="M35" s="35"/>
      <c r="N35" s="35"/>
    </row>
    <row r="36" spans="1:14" ht="33.6" customHeight="1" x14ac:dyDescent="0.25">
      <c r="A36" s="3"/>
      <c r="B36" s="11"/>
      <c r="C36" s="11"/>
      <c r="D36" s="11"/>
      <c r="E36" s="11"/>
      <c r="F36" s="11"/>
      <c r="G36" s="3"/>
      <c r="H36" s="3"/>
      <c r="I36" s="3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52:N52"/>
    <mergeCell ref="B12:F12"/>
    <mergeCell ref="G12:L12"/>
    <mergeCell ref="M12:N12"/>
    <mergeCell ref="A14:N14"/>
    <mergeCell ref="E50:N50"/>
    <mergeCell ref="A51:N51"/>
    <mergeCell ref="B10:F10"/>
    <mergeCell ref="G10:L10"/>
    <mergeCell ref="M10:N10"/>
    <mergeCell ref="B11:F11"/>
    <mergeCell ref="G11:L11"/>
    <mergeCell ref="M11:N11"/>
    <mergeCell ref="B8:F8"/>
    <mergeCell ref="G9:L9"/>
    <mergeCell ref="M8:N8"/>
    <mergeCell ref="B9:F9"/>
    <mergeCell ref="M9:N9"/>
    <mergeCell ref="G8:L8"/>
    <mergeCell ref="A7:F7"/>
    <mergeCell ref="G7:L7"/>
    <mergeCell ref="M7:N7"/>
    <mergeCell ref="A1:N1"/>
    <mergeCell ref="A3:D3"/>
    <mergeCell ref="E3:K3"/>
    <mergeCell ref="L3:M3"/>
    <mergeCell ref="A5:N5"/>
  </mergeCells>
  <hyperlinks>
    <hyperlink ref="N3" location="Activo26!A1" display="Activo26!A1" xr:uid="{BB844318-4567-4DA5-885E-86B1BD3EA004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D410-AF67-496F-9CAC-07F5118AA44B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BRENDA SELENE ISLAS BONILLA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788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24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9C0C3357-A82D-432F-BC30-821435E32A90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63FD-0AED-4AF8-9B7C-95BD419571D4}">
  <sheetPr>
    <tabColor rgb="FFFF000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ALICIA ROMERO ARREOLA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790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18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7B4F6967-6701-45E5-B971-847570F452D3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5320-0EA0-4CF9-8DC4-5ABBE6ECB9A4}">
  <sheetPr>
    <tabColor rgb="FF9C9B9B"/>
  </sheetPr>
  <dimension ref="A1:N192"/>
  <sheetViews>
    <sheetView view="pageLayout" zoomScale="80" zoomScaleNormal="90" zoomScaleSheetLayoutView="90" zoomScalePageLayoutView="80" workbookViewId="0">
      <selection activeCell="K28" sqref="K28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OMAR GARCÍA CALDERÓN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810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TME - Técnico en Mantenimiento Eléctrico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4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76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145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514717C7-9242-48C9-8D35-702217BA2A7E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5874-A508-41D9-AFDF-16C0D87AE707}">
  <sheetPr>
    <tabColor rgb="FFFFC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JONATHAN ARNOLD BRIONES GONZÁLEZ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833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OEX - Operador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34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 t="s">
        <v>12</v>
      </c>
      <c r="G19" s="11"/>
      <c r="H19" s="11"/>
      <c r="I19" s="11"/>
      <c r="J19" s="11"/>
      <c r="K19" s="10" t="s">
        <v>33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53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8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10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 t="s">
        <v>12</v>
      </c>
      <c r="J24" s="11"/>
      <c r="K24" s="10" t="s">
        <v>75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/>
      <c r="J25" s="11" t="s">
        <v>12</v>
      </c>
      <c r="K25" s="10" t="s">
        <v>7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tr">
        <f>"Locker No. "&amp;VLOOKUP($N$3,[2]!Tabla8[#All],3,0)</f>
        <v>Locker No. 139</v>
      </c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0D0058BF-CBBA-4738-93DB-053B8D72882D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3175-4CC6-4463-B027-17FEF66495CE}">
  <sheetPr>
    <tabColor rgb="FFFF000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DAVID MARÍN MUÑOZ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846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178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D50966FE-F0C1-40BB-9621-06A75B5B111D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948C-4BD4-4201-BCC8-DA989EF56D98}">
  <sheetPr>
    <tabColor rgb="FF00B0F0"/>
  </sheetPr>
  <dimension ref="A1:N192"/>
  <sheetViews>
    <sheetView view="pageLayout" zoomScale="80" zoomScaleNormal="90" zoomScaleSheetLayoutView="90" zoomScalePageLayoutView="80" workbookViewId="0">
      <selection activeCell="I18" sqref="I18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JOSÉ EFRAÍN DIEGO ISLAS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890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AXE - Auxiliar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155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4283CD7F-F278-4C5F-9314-662280E3DD65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A64E-4937-4D76-868C-1F7AED7F2507}">
  <sheetPr>
    <tabColor rgb="FF00B0F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EDUARDO TORRES PACHECO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927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AXE - Auxiliar de Extrusión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131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B4DFE878-68B7-4B24-BB36-3DE75CD80207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FE71-B180-4461-B519-D7F50A503090}">
  <sheetPr>
    <tabColor rgb="FFFF000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JOSUÉ CARBAJAL ORTIZ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934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101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8E1688D8-739A-41C3-B0FB-FDD9D15A7F45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EDCC-4266-4AAA-AFD6-F1CF2B52D009}">
  <sheetPr>
    <tabColor rgb="FFFF000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PABLO ROBERTO ABAD AGUILAR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951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5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6D79FCAB-DD7D-4F1A-9F70-0E616181CE95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C630-B15B-41B7-A517-47298193A8C1}">
  <sheetPr>
    <tabColor rgb="FFFF000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JOSÉ LUIS RAÚL OLVERA MONTIEL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983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31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88AE0FC5-CF5D-4585-A832-4D0F85D2364C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56D4-DE14-4E8C-8B1E-590DB22A6863}">
  <sheetPr>
    <tabColor rgb="FFFF000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ENRIQUE MEJÍA GÓMEZ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1010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105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7DC162E2-4683-4B08-8541-28981259815C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BDC1-199E-41A3-95E8-6B0CCE8D9354}">
  <sheetPr>
    <tabColor rgb="FF00B0F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e">
        <f>VLOOKUP(N3,[1]Activo26!B2:E164,2,0)</f>
        <v>#N/A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1033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e">
        <f>VLOOKUP(N3,[1]Activo26!B2:E164,4,0)</f>
        <v>#N/A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34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 t="s">
        <v>12</v>
      </c>
      <c r="G18" s="11"/>
      <c r="H18" s="11"/>
      <c r="I18" s="11"/>
      <c r="J18" s="11"/>
      <c r="K18" s="10" t="s">
        <v>33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3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2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53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e">
        <f>"Locker No. "&amp;VLOOKUP($N$3,[2]!Tabla8[#All],3,0)</f>
        <v>#N/A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04D0B831-7CDE-49FF-92DD-29D5A832BF43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1FCB-FF08-44B8-8C67-59B94DCF4A34}">
  <sheetPr>
    <tabColor rgb="FFFF0000"/>
  </sheetPr>
  <dimension ref="A1:N192"/>
  <sheetViews>
    <sheetView view="pageLayout" topLeftCell="A10" zoomScale="80" zoomScaleNormal="90" zoomScaleSheetLayoutView="90" zoomScalePageLayoutView="80" workbookViewId="0">
      <selection activeCell="N19" sqref="N19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LAURA SOSA CERÓN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1036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6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FA22B5B3-B7BE-494A-B3D0-87FC21FC7939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94C8-2460-4555-BDB4-A78B44C1F776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19" sqref="N19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IRENE BAÑOS ÁNGELES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1047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9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F049A7B5-ECC0-4E70-9B5A-B08A0085FBD5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1114-09F6-4682-987E-F689F0633D26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19" sqref="N19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FLOR IBETH CORTEZ PONCIANO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1061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0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78BB01B2-DD59-401D-9C85-219B885EB3FB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9C31-7014-4579-B5B6-E9BD707AB520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19" sqref="N19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LUIS FERNANDO AMADOR ORTIZ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1064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106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A45D4997-F5F9-4240-9A81-4811F090EDD9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C7FC-EBCA-4EDA-A8EE-7DBF6CB2DDEF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NELY PAOLA ÁNGELES TOLENTINO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1081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PLI - Personal de Limpieza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5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110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 t="s">
        <v>12</v>
      </c>
      <c r="J26" s="11"/>
      <c r="K26" s="10" t="s">
        <v>111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">
        <v>112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77550869-F3E2-4C8B-AB20-8735C6987D95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38F3-474B-4611-B2CA-45E4E3216226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19" sqref="N19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KEVIN URIEL HERNÁNDEZ RODRÍGUEZ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1094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159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1F90F0CD-BCDF-48DE-A042-C5A9A9CE95AE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C36C-D0DE-4373-953A-7E7B917F6840}">
  <sheetPr>
    <tabColor rgb="FFFF0000"/>
  </sheetPr>
  <dimension ref="A1:N192"/>
  <sheetViews>
    <sheetView view="pageLayout" topLeftCell="A16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RODRIGO RAMÍREZ PACHECO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1095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92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237F960E-C4D5-42AF-B965-2752E9F9B8E1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1AEB-4BA1-4048-B35E-FC05F32E969B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EDGAR GEOVANNY ESQUIVEL CALIXTO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1104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521B3FA9-B383-49F5-BE86-F4FDA9045D05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5313-C62D-4AC8-9B62-6CC2B07B74D7}">
  <sheetPr>
    <tabColor rgb="FFFF0000"/>
  </sheetPr>
  <dimension ref="A1:N192"/>
  <sheetViews>
    <sheetView view="pageLayout" topLeftCell="A13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ANTONIO ZAMBRANO ROSALES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1138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98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0639F5F9-F0D2-47BC-9BA0-35884ED8675B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5233-849C-4183-9CDF-88E8AE0DA7DA}">
  <sheetPr>
    <tabColor rgb="FFFF000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EDGARDO ASSAEL QUIRINO SEVILLA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1143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132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E8961794-7E0E-4C09-8E10-A60594D8B74C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6179-1A64-4FB2-8560-0B20108956EA}">
  <sheetPr>
    <tabColor rgb="FFFF000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ERICK JESÚS ISLAS MANRRÍQUEZ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1144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180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BBBDC473-2169-4821-A1D6-4BBEF18D8EB5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A810-E6F8-4ED4-8758-416BCD841C81}">
  <sheetPr>
    <tabColor rgb="FF9C9B9B"/>
  </sheetPr>
  <dimension ref="A1:N192"/>
  <sheetViews>
    <sheetView view="pageBreakPreview" topLeftCell="A4" zoomScale="90" zoomScaleNormal="90" zoomScaleSheetLayoutView="90" zoomScalePageLayoutView="80" workbookViewId="0">
      <selection activeCell="M19" sqref="M19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URIEL LIRA RIVAS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1153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">
        <v>51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 t="s">
        <v>12</v>
      </c>
      <c r="B9" s="48" t="s">
        <v>79</v>
      </c>
      <c r="C9" s="48"/>
      <c r="D9" s="48"/>
      <c r="E9" s="48"/>
      <c r="F9" s="48"/>
      <c r="G9" s="48" t="str">
        <f>VLOOKUP(N3,[1]Activo26!B3:E164,4,0)</f>
        <v>ACA - Auditor de Calidad - Proceso</v>
      </c>
      <c r="H9" s="48"/>
      <c r="I9" s="48"/>
      <c r="J9" s="48"/>
      <c r="K9" s="48"/>
      <c r="L9" s="48"/>
      <c r="M9" s="54">
        <v>46160</v>
      </c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 t="s">
        <v>12</v>
      </c>
      <c r="F17" s="11"/>
      <c r="G17" s="11"/>
      <c r="H17" s="11"/>
      <c r="I17" s="11"/>
      <c r="J17" s="11"/>
      <c r="K17" s="10" t="s">
        <v>93</v>
      </c>
      <c r="L17" s="3">
        <v>1</v>
      </c>
      <c r="M17" s="3" t="s">
        <v>99</v>
      </c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 t="s">
        <v>12</v>
      </c>
      <c r="F18" s="11"/>
      <c r="G18" s="11"/>
      <c r="H18" s="11"/>
      <c r="I18" s="11"/>
      <c r="J18" s="11"/>
      <c r="K18" s="41" t="s">
        <v>101</v>
      </c>
      <c r="L18" s="3">
        <v>1</v>
      </c>
      <c r="M18" s="3" t="s">
        <v>99</v>
      </c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 t="s">
        <v>12</v>
      </c>
      <c r="F19" s="11"/>
      <c r="G19" s="11"/>
      <c r="H19" s="11"/>
      <c r="I19" s="11"/>
      <c r="J19" s="11"/>
      <c r="K19" s="10" t="s">
        <v>95</v>
      </c>
      <c r="L19" s="3">
        <v>1</v>
      </c>
      <c r="M19" s="3" t="s">
        <v>99</v>
      </c>
      <c r="N19" s="3"/>
    </row>
    <row r="20" spans="1:14" ht="33.6" customHeight="1" x14ac:dyDescent="0.25">
      <c r="A20" s="3">
        <v>2</v>
      </c>
      <c r="B20" s="11" t="s">
        <v>12</v>
      </c>
      <c r="C20" s="11"/>
      <c r="D20" s="11"/>
      <c r="E20" s="11" t="s">
        <v>12</v>
      </c>
      <c r="F20" s="11"/>
      <c r="G20" s="11"/>
      <c r="H20" s="11"/>
      <c r="I20" s="11"/>
      <c r="J20" s="11"/>
      <c r="K20" s="10" t="s">
        <v>96</v>
      </c>
      <c r="L20" s="3">
        <v>1</v>
      </c>
      <c r="M20" s="3" t="s">
        <v>99</v>
      </c>
      <c r="N20" s="3"/>
    </row>
    <row r="21" spans="1:14" ht="33.6" customHeight="1" x14ac:dyDescent="0.25">
      <c r="A21" s="3">
        <v>3</v>
      </c>
      <c r="B21" s="11" t="s">
        <v>12</v>
      </c>
      <c r="C21" s="11"/>
      <c r="D21" s="11"/>
      <c r="E21" s="11"/>
      <c r="F21" s="11" t="s">
        <v>12</v>
      </c>
      <c r="G21" s="11"/>
      <c r="H21" s="11"/>
      <c r="I21" s="11"/>
      <c r="J21" s="11"/>
      <c r="K21" s="10" t="s">
        <v>33</v>
      </c>
      <c r="L21" s="3">
        <v>1</v>
      </c>
      <c r="M21" s="3" t="s">
        <v>99</v>
      </c>
      <c r="N21" s="3"/>
    </row>
    <row r="22" spans="1:14" ht="33.6" customHeight="1" x14ac:dyDescent="0.25">
      <c r="A22" s="3">
        <v>4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94</v>
      </c>
      <c r="L22" s="3">
        <v>1</v>
      </c>
      <c r="M22" s="3" t="s">
        <v>99</v>
      </c>
      <c r="N22" s="3"/>
    </row>
    <row r="23" spans="1:14" ht="33.6" customHeight="1" x14ac:dyDescent="0.25">
      <c r="A23" s="3">
        <v>5</v>
      </c>
      <c r="B23" s="11" t="s">
        <v>12</v>
      </c>
      <c r="C23" s="11"/>
      <c r="D23" s="11"/>
      <c r="E23" s="11"/>
      <c r="F23" s="11"/>
      <c r="G23" s="11"/>
      <c r="H23" s="11" t="s">
        <v>12</v>
      </c>
      <c r="I23" s="3"/>
      <c r="J23" s="3"/>
      <c r="K23" s="10" t="s">
        <v>104</v>
      </c>
      <c r="L23" s="3">
        <v>1</v>
      </c>
      <c r="M23" s="3" t="s">
        <v>99</v>
      </c>
      <c r="N23" s="3"/>
    </row>
    <row r="24" spans="1:14" ht="33.6" customHeight="1" x14ac:dyDescent="0.25">
      <c r="A24" s="3">
        <v>6</v>
      </c>
      <c r="B24" s="11" t="s">
        <v>12</v>
      </c>
      <c r="C24" s="11"/>
      <c r="D24" s="11"/>
      <c r="E24" s="11"/>
      <c r="F24" s="11"/>
      <c r="G24" s="11"/>
      <c r="H24" s="11" t="s">
        <v>12</v>
      </c>
      <c r="I24" s="3"/>
      <c r="J24" s="3"/>
      <c r="K24" s="10" t="s">
        <v>83</v>
      </c>
      <c r="L24" s="3">
        <v>1</v>
      </c>
      <c r="M24" s="3" t="s">
        <v>99</v>
      </c>
      <c r="N24" s="3"/>
    </row>
    <row r="25" spans="1:14" ht="33.6" customHeight="1" x14ac:dyDescent="0.25">
      <c r="A25" s="3">
        <v>7</v>
      </c>
      <c r="B25" s="11" t="s">
        <v>12</v>
      </c>
      <c r="C25" s="11"/>
      <c r="D25" s="11"/>
      <c r="E25" s="11"/>
      <c r="F25" s="11"/>
      <c r="G25" s="11"/>
      <c r="H25" s="11" t="s">
        <v>12</v>
      </c>
      <c r="I25" s="3"/>
      <c r="J25" s="3"/>
      <c r="K25" s="10" t="s">
        <v>103</v>
      </c>
      <c r="L25" s="3">
        <v>1</v>
      </c>
      <c r="M25" s="3" t="s">
        <v>99</v>
      </c>
      <c r="N25" s="3"/>
    </row>
    <row r="26" spans="1:14" ht="33.6" customHeight="1" x14ac:dyDescent="0.25">
      <c r="A26" s="3">
        <v>8</v>
      </c>
      <c r="B26" s="11" t="s">
        <v>12</v>
      </c>
      <c r="C26" s="11"/>
      <c r="D26" s="11"/>
      <c r="E26" s="11"/>
      <c r="F26" s="11"/>
      <c r="G26" s="11"/>
      <c r="H26" s="11" t="s">
        <v>12</v>
      </c>
      <c r="I26" s="3"/>
      <c r="J26" s="3"/>
      <c r="K26" s="10" t="s">
        <v>2</v>
      </c>
      <c r="L26" s="3">
        <v>1</v>
      </c>
      <c r="M26" s="3" t="s">
        <v>99</v>
      </c>
      <c r="N26" s="3"/>
    </row>
    <row r="27" spans="1:14" ht="33.6" customHeight="1" x14ac:dyDescent="0.25">
      <c r="A27" s="3">
        <v>9</v>
      </c>
      <c r="B27" s="11" t="s">
        <v>12</v>
      </c>
      <c r="C27" s="11"/>
      <c r="D27" s="11"/>
      <c r="E27" s="11"/>
      <c r="F27" s="11"/>
      <c r="G27" s="11"/>
      <c r="H27" s="11" t="s">
        <v>12</v>
      </c>
      <c r="I27" s="3"/>
      <c r="J27" s="3"/>
      <c r="K27" s="10" t="s">
        <v>52</v>
      </c>
      <c r="L27" s="3">
        <v>1</v>
      </c>
      <c r="M27" s="3" t="s">
        <v>99</v>
      </c>
      <c r="N27" s="3"/>
    </row>
    <row r="28" spans="1:14" ht="33.6" customHeight="1" x14ac:dyDescent="0.25">
      <c r="A28" s="3">
        <v>10</v>
      </c>
      <c r="B28" s="11" t="s">
        <v>12</v>
      </c>
      <c r="C28" s="11"/>
      <c r="D28" s="11"/>
      <c r="E28" s="11"/>
      <c r="F28" s="11"/>
      <c r="G28" s="11"/>
      <c r="H28" s="11" t="s">
        <v>12</v>
      </c>
      <c r="I28" s="3"/>
      <c r="J28" s="3"/>
      <c r="K28" s="10" t="s">
        <v>102</v>
      </c>
      <c r="L28" s="3">
        <v>1</v>
      </c>
      <c r="M28" s="3" t="s">
        <v>99</v>
      </c>
      <c r="N28" s="3"/>
    </row>
    <row r="29" spans="1:14" ht="33.6" customHeight="1" x14ac:dyDescent="0.25">
      <c r="A29" s="3">
        <v>11</v>
      </c>
      <c r="B29" s="11" t="s">
        <v>12</v>
      </c>
      <c r="C29" s="11"/>
      <c r="D29" s="11"/>
      <c r="E29" s="11"/>
      <c r="F29" s="11"/>
      <c r="G29" s="11"/>
      <c r="H29" s="11"/>
      <c r="I29" s="11" t="s">
        <v>12</v>
      </c>
      <c r="J29" s="11"/>
      <c r="K29" s="10" t="s">
        <v>75</v>
      </c>
      <c r="L29" s="3">
        <v>2</v>
      </c>
      <c r="M29" s="3" t="s">
        <v>100</v>
      </c>
      <c r="N29" s="3"/>
    </row>
    <row r="30" spans="1:14" ht="33.6" customHeight="1" x14ac:dyDescent="0.25">
      <c r="A30" s="3">
        <v>12</v>
      </c>
      <c r="B30" s="11" t="s">
        <v>12</v>
      </c>
      <c r="C30" s="11"/>
      <c r="D30" s="11"/>
      <c r="E30" s="11"/>
      <c r="F30" s="11"/>
      <c r="G30" s="11"/>
      <c r="H30" s="11"/>
      <c r="I30" s="11"/>
      <c r="J30" s="11" t="s">
        <v>12</v>
      </c>
      <c r="K30" s="10" t="s">
        <v>7</v>
      </c>
      <c r="L30" s="3">
        <v>1</v>
      </c>
      <c r="M30" s="3" t="s">
        <v>99</v>
      </c>
      <c r="N30" s="3"/>
    </row>
    <row r="31" spans="1:14" ht="33.6" customHeight="1" x14ac:dyDescent="0.25">
      <c r="A31" s="3">
        <v>13</v>
      </c>
      <c r="B31" s="11" t="s">
        <v>12</v>
      </c>
      <c r="C31" s="11"/>
      <c r="D31" s="11"/>
      <c r="E31" s="11"/>
      <c r="F31" s="11"/>
      <c r="G31" s="11"/>
      <c r="H31" s="11"/>
      <c r="I31" s="11"/>
      <c r="J31" s="11" t="s">
        <v>12</v>
      </c>
      <c r="K31" s="10" t="str">
        <f>"Locker No. "&amp;VLOOKUP($N$3,[2]!Tabla8[#All],3,0)</f>
        <v>Locker No. 26</v>
      </c>
      <c r="L31" s="3">
        <v>1</v>
      </c>
      <c r="M31" s="3" t="s">
        <v>99</v>
      </c>
      <c r="N31" s="3"/>
    </row>
    <row r="32" spans="1:14" ht="33.6" customHeight="1" x14ac:dyDescent="0.25">
      <c r="A32" s="3">
        <v>14</v>
      </c>
      <c r="B32" s="11" t="s">
        <v>12</v>
      </c>
      <c r="C32" s="11"/>
      <c r="D32" s="11"/>
      <c r="E32" s="11"/>
      <c r="F32" s="11"/>
      <c r="G32" s="11"/>
      <c r="H32" s="11"/>
      <c r="I32" s="11"/>
      <c r="J32" s="11" t="s">
        <v>12</v>
      </c>
      <c r="K32" s="10" t="s">
        <v>98</v>
      </c>
      <c r="L32" s="3">
        <v>1</v>
      </c>
      <c r="M32" s="3" t="s">
        <v>99</v>
      </c>
      <c r="N32" s="3"/>
    </row>
    <row r="33" spans="1:14" ht="33.6" customHeight="1" x14ac:dyDescent="0.2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7"/>
      <c r="L33" s="35"/>
      <c r="M33" s="35"/>
      <c r="N33" s="35"/>
    </row>
    <row r="34" spans="1:14" ht="33.6" customHeight="1" x14ac:dyDescent="0.25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7"/>
      <c r="L34" s="35"/>
      <c r="M34" s="35"/>
      <c r="N34" s="35"/>
    </row>
    <row r="35" spans="1:14" ht="33.6" customHeight="1" x14ac:dyDescent="0.25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7"/>
      <c r="L35" s="35"/>
      <c r="M35" s="35"/>
      <c r="N35" s="35"/>
    </row>
    <row r="36" spans="1:14" ht="33.6" customHeight="1" x14ac:dyDescent="0.25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7"/>
      <c r="L36" s="35"/>
      <c r="M36" s="35"/>
      <c r="N36" s="35"/>
    </row>
    <row r="37" spans="1:14" ht="33.6" customHeight="1" x14ac:dyDescent="0.2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7"/>
      <c r="L37" s="35"/>
      <c r="M37" s="35"/>
      <c r="N37" s="35"/>
    </row>
    <row r="38" spans="1:14" ht="33.6" customHeight="1" x14ac:dyDescent="0.25">
      <c r="A38" s="3"/>
      <c r="B38" s="11"/>
      <c r="C38" s="11"/>
      <c r="D38" s="11"/>
      <c r="E38" s="11"/>
      <c r="F38" s="11"/>
      <c r="G38" s="3"/>
      <c r="H38" s="3"/>
      <c r="I38" s="3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M8:N8"/>
    <mergeCell ref="G9:L9"/>
    <mergeCell ref="M9:N9"/>
    <mergeCell ref="A1:N1"/>
    <mergeCell ref="A3:D3"/>
    <mergeCell ref="E3:K3"/>
    <mergeCell ref="L3:M3"/>
    <mergeCell ref="A5:N5"/>
    <mergeCell ref="A7:F7"/>
    <mergeCell ref="G7:L7"/>
    <mergeCell ref="M7:N7"/>
    <mergeCell ref="A52:N52"/>
    <mergeCell ref="B8:F8"/>
    <mergeCell ref="B12:F12"/>
    <mergeCell ref="G12:L12"/>
    <mergeCell ref="M12:N12"/>
    <mergeCell ref="A14:N14"/>
    <mergeCell ref="E50:N50"/>
    <mergeCell ref="A51:N51"/>
    <mergeCell ref="B10:F10"/>
    <mergeCell ref="G10:L10"/>
    <mergeCell ref="M10:N10"/>
    <mergeCell ref="B11:F11"/>
    <mergeCell ref="G11:L11"/>
    <mergeCell ref="M11:N11"/>
    <mergeCell ref="B9:F9"/>
    <mergeCell ref="G8:L8"/>
  </mergeCells>
  <hyperlinks>
    <hyperlink ref="N3" location="Activo26!A1" display="Activo26!A1" xr:uid="{82A80C37-327F-4D3C-A918-F261971318F4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6EFC-E56B-4464-A4BA-F2D05ECBE797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IRAZEMA MARTÍNEZ BECERRA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1155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16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5D19AFF9-EAE4-4C90-AAB9-47DB9E7A195B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FEAD-304D-4879-989E-AD958CFB8644}">
  <sheetPr>
    <tabColor rgb="FF9C9B9B"/>
  </sheetPr>
  <dimension ref="A1:N192"/>
  <sheetViews>
    <sheetView zoomScale="80" zoomScaleNormal="90" zoomScaleSheetLayoutView="90" zoomScalePageLayoutView="80" workbookViewId="0">
      <selection activeCell="K17" sqref="K17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BRUNO ANTONIO GARCÍA BOTELLO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1165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TME - Técnico en Mantenimiento Eléctrico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/>
      <c r="H19" s="11" t="s">
        <v>12</v>
      </c>
      <c r="I19" s="11"/>
      <c r="J19" s="11"/>
      <c r="K19" s="10" t="s">
        <v>4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/>
      <c r="H20" s="11" t="s">
        <v>12</v>
      </c>
      <c r="I20" s="11"/>
      <c r="J20" s="11"/>
      <c r="K20" s="10" t="s">
        <v>5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/>
      <c r="H21" s="11" t="s">
        <v>12</v>
      </c>
      <c r="I21" s="11"/>
      <c r="J21" s="11"/>
      <c r="K21" s="10" t="s">
        <v>76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 t="s">
        <v>12</v>
      </c>
      <c r="H22" s="11"/>
      <c r="I22" s="11"/>
      <c r="J22" s="11"/>
      <c r="K22" s="10" t="s">
        <v>8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 t="s">
        <v>12</v>
      </c>
      <c r="H23" s="11"/>
      <c r="I23" s="11"/>
      <c r="J23" s="11"/>
      <c r="K23" s="10" t="s">
        <v>9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 t="s">
        <v>12</v>
      </c>
      <c r="H24" s="11"/>
      <c r="I24" s="11"/>
      <c r="J24" s="11"/>
      <c r="K24" s="10" t="s">
        <v>10</v>
      </c>
      <c r="L24" s="3"/>
      <c r="M24" s="3"/>
      <c r="N24" s="3"/>
    </row>
    <row r="25" spans="1:14" ht="33.6" customHeight="1" x14ac:dyDescent="0.25">
      <c r="A25" s="3">
        <v>9</v>
      </c>
      <c r="B25" s="11" t="s">
        <v>12</v>
      </c>
      <c r="C25" s="11"/>
      <c r="D25" s="11"/>
      <c r="E25" s="11"/>
      <c r="F25" s="11"/>
      <c r="G25" s="11"/>
      <c r="H25" s="11"/>
      <c r="I25" s="11" t="s">
        <v>12</v>
      </c>
      <c r="J25" s="11"/>
      <c r="K25" s="10" t="s">
        <v>75</v>
      </c>
      <c r="L25" s="3"/>
      <c r="M25" s="3"/>
      <c r="N25" s="3"/>
    </row>
    <row r="26" spans="1:14" ht="33.6" customHeight="1" x14ac:dyDescent="0.25">
      <c r="A26" s="3">
        <v>10</v>
      </c>
      <c r="B26" s="11" t="s">
        <v>12</v>
      </c>
      <c r="C26" s="11"/>
      <c r="D26" s="11"/>
      <c r="E26" s="11"/>
      <c r="F26" s="11"/>
      <c r="G26" s="11"/>
      <c r="H26" s="11"/>
      <c r="I26" s="11"/>
      <c r="J26" s="11" t="s">
        <v>12</v>
      </c>
      <c r="K26" s="10" t="s">
        <v>7</v>
      </c>
      <c r="L26" s="3"/>
      <c r="M26" s="3"/>
      <c r="N26" s="3"/>
    </row>
    <row r="27" spans="1:14" ht="33.6" customHeight="1" x14ac:dyDescent="0.25">
      <c r="A27" s="3">
        <v>11</v>
      </c>
      <c r="B27" s="11" t="s">
        <v>12</v>
      </c>
      <c r="C27" s="11"/>
      <c r="D27" s="11"/>
      <c r="E27" s="11"/>
      <c r="F27" s="11"/>
      <c r="G27" s="11"/>
      <c r="H27" s="11"/>
      <c r="I27" s="11"/>
      <c r="J27" s="11" t="s">
        <v>12</v>
      </c>
      <c r="K27" s="10" t="str">
        <f>"Locker No. "&amp;VLOOKUP($N$3,[2]!Tabla8[#All],3,0)</f>
        <v>Locker No. 36</v>
      </c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98575FF0-9573-49AE-A414-B52D1E827AB6}"/>
  </hyperlinks>
  <printOptions horizontalCentered="1"/>
  <pageMargins left="0.19685039370078741" right="0.19685039370078741" top="0.19685039370078741" bottom="0.78740157480314965" header="0" footer="0.39370078740157483"/>
  <pageSetup scale="84" orientation="portrait" horizontalDpi="360" verticalDpi="360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69F8-6D95-40C5-9125-495F5F4207C7}">
  <sheetPr>
    <tabColor rgb="FFFF0000"/>
  </sheetPr>
  <dimension ref="A1:N192"/>
  <sheetViews>
    <sheetView view="pageLayout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ÁNGEL YAIR ROSAS GUTIERREZ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1166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44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DFCFF09C-B107-42E9-8E40-00A31422986E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99AE-732F-4F3D-AE48-14E24C3988C4}">
  <sheetPr>
    <tabColor rgb="FFFF0000"/>
  </sheetPr>
  <dimension ref="A1:N192"/>
  <sheetViews>
    <sheetView view="pageLayout" topLeftCell="A7" zoomScale="80" zoomScaleNormal="90" zoomScaleSheetLayoutView="90" zoomScalePageLayoutView="80" workbookViewId="0">
      <selection sqref="A1:N1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ANDONI YAMIR FLORES ROCHA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1167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45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D0D57101-0BE9-41E6-AC26-2574B6559588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55F5-B2CE-4AC2-8C3D-1B9066EA7011}">
  <sheetPr>
    <tabColor rgb="FFFF0000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ERIC SOTO JUSTO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1168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46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30BF8CEB-8E18-4964-BB40-CF6ADAEAB76D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4E24-5B70-48B9-A6A6-624828E4DF7C}">
  <sheetPr>
    <tabColor rgb="FFFF0000"/>
  </sheetPr>
  <dimension ref="A1:N192"/>
  <sheetViews>
    <sheetView topLeftCell="A7" zoomScale="80" zoomScaleNormal="90" zoomScaleSheetLayoutView="90" zoomScalePageLayoutView="80" workbookViewId="0">
      <selection activeCell="K25" sqref="K25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LORENA ROSAS PELCASTRE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1171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ENR - Enrollador</v>
      </c>
      <c r="H8" s="48"/>
      <c r="I8" s="48"/>
      <c r="J8" s="48"/>
      <c r="K8" s="48"/>
      <c r="L8" s="48"/>
      <c r="M8" s="48"/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11"/>
      <c r="E17" s="11"/>
      <c r="F17" s="11" t="s">
        <v>12</v>
      </c>
      <c r="G17" s="11"/>
      <c r="H17" s="11"/>
      <c r="I17" s="11"/>
      <c r="J17" s="11"/>
      <c r="K17" s="10" t="s">
        <v>33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11"/>
      <c r="E18" s="11"/>
      <c r="F18" s="11"/>
      <c r="G18" s="11"/>
      <c r="H18" s="11" t="s">
        <v>12</v>
      </c>
      <c r="I18" s="11"/>
      <c r="J18" s="11"/>
      <c r="K18" s="10" t="s">
        <v>76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11"/>
      <c r="E19" s="11"/>
      <c r="F19" s="11"/>
      <c r="G19" s="11" t="s">
        <v>12</v>
      </c>
      <c r="H19" s="11"/>
      <c r="I19" s="11"/>
      <c r="J19" s="11"/>
      <c r="K19" s="10" t="s">
        <v>8</v>
      </c>
      <c r="L19" s="3"/>
      <c r="M19" s="3"/>
      <c r="N19" s="3"/>
    </row>
    <row r="20" spans="1:14" ht="33.6" customHeight="1" x14ac:dyDescent="0.25">
      <c r="A20" s="3">
        <v>4</v>
      </c>
      <c r="B20" s="11" t="s">
        <v>12</v>
      </c>
      <c r="C20" s="11"/>
      <c r="D20" s="11"/>
      <c r="E20" s="11"/>
      <c r="F20" s="11"/>
      <c r="G20" s="11" t="s">
        <v>12</v>
      </c>
      <c r="H20" s="11"/>
      <c r="I20" s="11"/>
      <c r="J20" s="11"/>
      <c r="K20" s="10" t="s">
        <v>9</v>
      </c>
      <c r="L20" s="3"/>
      <c r="M20" s="3"/>
      <c r="N20" s="3"/>
    </row>
    <row r="21" spans="1:14" ht="33.6" customHeight="1" x14ac:dyDescent="0.25">
      <c r="A21" s="3">
        <v>5</v>
      </c>
      <c r="B21" s="11" t="s">
        <v>12</v>
      </c>
      <c r="C21" s="11"/>
      <c r="D21" s="11"/>
      <c r="E21" s="11"/>
      <c r="F21" s="11"/>
      <c r="G21" s="11" t="s">
        <v>12</v>
      </c>
      <c r="H21" s="11"/>
      <c r="I21" s="11"/>
      <c r="J21" s="11"/>
      <c r="K21" s="10" t="s">
        <v>10</v>
      </c>
      <c r="L21" s="3"/>
      <c r="M21" s="3"/>
      <c r="N21" s="3"/>
    </row>
    <row r="22" spans="1:14" ht="33.6" customHeight="1" x14ac:dyDescent="0.25">
      <c r="A22" s="3">
        <v>6</v>
      </c>
      <c r="B22" s="11" t="s">
        <v>12</v>
      </c>
      <c r="C22" s="11"/>
      <c r="D22" s="11"/>
      <c r="E22" s="11"/>
      <c r="F22" s="11"/>
      <c r="G22" s="11"/>
      <c r="H22" s="11"/>
      <c r="I22" s="11" t="s">
        <v>12</v>
      </c>
      <c r="J22" s="11"/>
      <c r="K22" s="10" t="s">
        <v>75</v>
      </c>
      <c r="L22" s="3"/>
      <c r="M22" s="3"/>
      <c r="N22" s="3"/>
    </row>
    <row r="23" spans="1:14" ht="33.6" customHeight="1" x14ac:dyDescent="0.25">
      <c r="A23" s="3">
        <v>7</v>
      </c>
      <c r="B23" s="11" t="s">
        <v>12</v>
      </c>
      <c r="C23" s="11"/>
      <c r="D23" s="11"/>
      <c r="E23" s="11"/>
      <c r="F23" s="11"/>
      <c r="G23" s="11"/>
      <c r="H23" s="11"/>
      <c r="I23" s="11"/>
      <c r="J23" s="11" t="s">
        <v>12</v>
      </c>
      <c r="K23" s="10" t="s">
        <v>7</v>
      </c>
      <c r="L23" s="3"/>
      <c r="M23" s="3"/>
      <c r="N23" s="3"/>
    </row>
    <row r="24" spans="1:14" ht="33.6" customHeight="1" x14ac:dyDescent="0.25">
      <c r="A24" s="3">
        <v>8</v>
      </c>
      <c r="B24" s="11" t="s">
        <v>12</v>
      </c>
      <c r="C24" s="11"/>
      <c r="D24" s="11"/>
      <c r="E24" s="11"/>
      <c r="F24" s="11"/>
      <c r="G24" s="11"/>
      <c r="H24" s="11"/>
      <c r="I24" s="11"/>
      <c r="J24" s="11" t="s">
        <v>12</v>
      </c>
      <c r="K24" s="10" t="str">
        <f>"Locker No. "&amp;VLOOKUP($N$3,[2]!Tabla8[#All],3,0)</f>
        <v>Locker No. 00</v>
      </c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6E82E5D2-810D-46AF-8867-44B7686D0B70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3E29-9F70-401B-A0AD-10E384509C87}">
  <sheetPr>
    <tabColor theme="9" tint="0.59999389629810485"/>
  </sheetPr>
  <dimension ref="A1:N192"/>
  <sheetViews>
    <sheetView view="pageLayout" zoomScale="80" zoomScaleNormal="90" zoomScaleSheetLayoutView="90" zoomScalePageLayoutView="80" workbookViewId="0">
      <selection activeCell="M18" sqref="M18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e">
        <f>VLOOKUP(N3,[1]Activo26!B2:E164,2,0)</f>
        <v>#N/A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1175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e">
        <f>VLOOKUP(N3,[1]Activo26!B2:E164,4,0)</f>
        <v>#N/A</v>
      </c>
      <c r="H8" s="48"/>
      <c r="I8" s="48"/>
      <c r="J8" s="48"/>
      <c r="K8" s="48"/>
      <c r="L8" s="48"/>
      <c r="M8" s="54">
        <v>46181</v>
      </c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42">
        <v>46181</v>
      </c>
      <c r="E17" s="11"/>
      <c r="F17" s="11"/>
      <c r="G17" s="11"/>
      <c r="H17" s="11"/>
      <c r="I17" s="11" t="s">
        <v>12</v>
      </c>
      <c r="J17" s="11"/>
      <c r="K17" s="10" t="s">
        <v>75</v>
      </c>
      <c r="L17" s="3"/>
      <c r="M17" s="3"/>
      <c r="N17" s="3"/>
    </row>
    <row r="18" spans="1:14" ht="33.6" customHeight="1" x14ac:dyDescent="0.25">
      <c r="A18" s="3">
        <v>2</v>
      </c>
      <c r="B18" s="11" t="s">
        <v>12</v>
      </c>
      <c r="C18" s="11"/>
      <c r="D18" s="42">
        <v>46181</v>
      </c>
      <c r="E18" s="11"/>
      <c r="F18" s="11"/>
      <c r="G18" s="11"/>
      <c r="H18" s="11"/>
      <c r="I18" s="11" t="s">
        <v>12</v>
      </c>
      <c r="J18" s="11"/>
      <c r="K18" s="10" t="s">
        <v>113</v>
      </c>
      <c r="L18" s="3"/>
      <c r="M18" s="3"/>
      <c r="N18" s="3"/>
    </row>
    <row r="19" spans="1:14" ht="33.6" customHeight="1" x14ac:dyDescent="0.25">
      <c r="A19" s="3">
        <v>3</v>
      </c>
      <c r="B19" s="11" t="s">
        <v>12</v>
      </c>
      <c r="C19" s="11"/>
      <c r="D19" s="42">
        <v>46181</v>
      </c>
      <c r="E19" s="11"/>
      <c r="F19" s="11"/>
      <c r="G19" s="11"/>
      <c r="H19" s="11"/>
      <c r="I19" s="11"/>
      <c r="J19" s="11" t="s">
        <v>12</v>
      </c>
      <c r="K19" s="10" t="s">
        <v>7</v>
      </c>
      <c r="L19" s="3"/>
      <c r="M19" s="3"/>
      <c r="N19" s="3"/>
    </row>
    <row r="20" spans="1:14" ht="33.6" customHeight="1" x14ac:dyDescent="0.25">
      <c r="A20" s="3"/>
      <c r="B20" s="11"/>
      <c r="C20" s="11"/>
      <c r="D20" s="11"/>
      <c r="E20" s="11"/>
      <c r="F20" s="11"/>
      <c r="G20" s="11"/>
      <c r="H20" s="11"/>
      <c r="I20" s="11"/>
      <c r="J20" s="11"/>
      <c r="L20" s="3"/>
      <c r="M20" s="3"/>
      <c r="N20" s="3"/>
    </row>
    <row r="21" spans="1:14" ht="33.6" customHeight="1" x14ac:dyDescent="0.25">
      <c r="A21" s="3"/>
      <c r="B21" s="11"/>
      <c r="C21" s="11"/>
      <c r="D21" s="11"/>
      <c r="E21" s="11"/>
      <c r="F21" s="11"/>
      <c r="G21" s="11"/>
      <c r="H21" s="11"/>
      <c r="I21" s="11"/>
      <c r="J21" s="11"/>
      <c r="K21" s="10"/>
      <c r="L21" s="3"/>
      <c r="M21" s="3"/>
      <c r="N21" s="3"/>
    </row>
    <row r="22" spans="1:14" ht="33.6" customHeight="1" x14ac:dyDescent="0.25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0"/>
      <c r="L22" s="3"/>
      <c r="M22" s="3"/>
      <c r="N22" s="3"/>
    </row>
    <row r="23" spans="1:14" ht="33.6" customHeight="1" x14ac:dyDescent="0.25">
      <c r="A23" s="3"/>
      <c r="B23" s="11"/>
      <c r="C23" s="11"/>
      <c r="D23" s="11"/>
      <c r="E23" s="11"/>
      <c r="F23" s="11"/>
      <c r="G23" s="11"/>
      <c r="H23" s="11"/>
      <c r="I23" s="11"/>
      <c r="J23" s="11"/>
      <c r="K23" s="10"/>
      <c r="L23" s="3"/>
      <c r="M23" s="3"/>
      <c r="N23" s="3"/>
    </row>
    <row r="24" spans="1:14" ht="33.6" customHeight="1" x14ac:dyDescent="0.25">
      <c r="A24" s="3"/>
      <c r="B24" s="11"/>
      <c r="C24" s="11"/>
      <c r="D24" s="11"/>
      <c r="E24" s="11"/>
      <c r="F24" s="11"/>
      <c r="G24" s="11"/>
      <c r="H24" s="11"/>
      <c r="I24" s="11"/>
      <c r="J24" s="11"/>
      <c r="K24" s="10"/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3E5F04ED-0F61-45DB-AC4F-E6230E8570B2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2E-70A5-46B9-9CA3-FDB22B26422D}">
  <sheetPr>
    <tabColor rgb="FF1782B5"/>
  </sheetPr>
  <dimension ref="A1:N192"/>
  <sheetViews>
    <sheetView view="pageLayout" zoomScale="80" zoomScaleNormal="90" zoomScaleSheetLayoutView="90" zoomScalePageLayoutView="80" workbookViewId="0">
      <selection activeCell="N3" sqref="N3"/>
    </sheetView>
  </sheetViews>
  <sheetFormatPr baseColWidth="10" defaultRowHeight="13.8" x14ac:dyDescent="0.25"/>
  <cols>
    <col min="1" max="1" width="3.69921875" style="1" customWidth="1"/>
    <col min="2" max="3" width="3.19921875" style="1" customWidth="1"/>
    <col min="4" max="4" width="12.69921875" style="1" customWidth="1"/>
    <col min="5" max="10" width="3.19921875" style="1" customWidth="1"/>
    <col min="11" max="11" width="33.59765625" style="1" customWidth="1"/>
    <col min="12" max="13" width="8.59765625" style="1" customWidth="1"/>
    <col min="14" max="14" width="15.69921875" style="1" customWidth="1"/>
    <col min="15" max="16384" width="11.19921875" style="1"/>
  </cols>
  <sheetData>
    <row r="1" spans="1:14" ht="40.049999999999997" customHeight="1" x14ac:dyDescent="0.25">
      <c r="A1" s="52" t="s">
        <v>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10.050000000000001" customHeight="1" x14ac:dyDescent="0.25"/>
    <row r="3" spans="1:14" ht="30" customHeight="1" x14ac:dyDescent="0.25">
      <c r="A3" s="51" t="s">
        <v>56</v>
      </c>
      <c r="B3" s="51"/>
      <c r="C3" s="51"/>
      <c r="D3" s="51"/>
      <c r="E3" s="48" t="str">
        <f>VLOOKUP(N3,[1]Activo26!B2:E164,2,0)</f>
        <v>FRANCISCO JESÚS MORALES CORTES</v>
      </c>
      <c r="F3" s="48"/>
      <c r="G3" s="48"/>
      <c r="H3" s="48"/>
      <c r="I3" s="48"/>
      <c r="J3" s="48"/>
      <c r="K3" s="48"/>
      <c r="L3" s="51" t="s">
        <v>57</v>
      </c>
      <c r="M3" s="51"/>
      <c r="N3" s="9">
        <v>1176</v>
      </c>
    </row>
    <row r="4" spans="1:14" ht="4.95" customHeight="1" x14ac:dyDescent="0.25"/>
    <row r="5" spans="1:14" ht="15" customHeight="1" x14ac:dyDescent="0.25">
      <c r="A5" s="53" t="s">
        <v>58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spans="1:14" ht="4.9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" customHeight="1" x14ac:dyDescent="0.25">
      <c r="A7" s="51" t="s">
        <v>59</v>
      </c>
      <c r="B7" s="51"/>
      <c r="C7" s="51"/>
      <c r="D7" s="51"/>
      <c r="E7" s="51"/>
      <c r="F7" s="51"/>
      <c r="G7" s="51" t="s">
        <v>60</v>
      </c>
      <c r="H7" s="51"/>
      <c r="I7" s="51"/>
      <c r="J7" s="51"/>
      <c r="K7" s="51"/>
      <c r="L7" s="51"/>
      <c r="M7" s="51" t="s">
        <v>61</v>
      </c>
      <c r="N7" s="51"/>
    </row>
    <row r="8" spans="1:14" ht="15" customHeight="1" x14ac:dyDescent="0.25">
      <c r="A8" s="3" t="s">
        <v>12</v>
      </c>
      <c r="B8" s="48" t="s">
        <v>74</v>
      </c>
      <c r="C8" s="48"/>
      <c r="D8" s="48"/>
      <c r="E8" s="48"/>
      <c r="F8" s="48"/>
      <c r="G8" s="48" t="str">
        <f>VLOOKUP(N3,[1]Activo26!B2:E164,4,0)</f>
        <v>EMP - Empacador</v>
      </c>
      <c r="H8" s="48"/>
      <c r="I8" s="48"/>
      <c r="J8" s="48"/>
      <c r="K8" s="48"/>
      <c r="L8" s="48"/>
      <c r="M8" s="54">
        <v>46181</v>
      </c>
      <c r="N8" s="48"/>
    </row>
    <row r="9" spans="1:14" ht="15" customHeight="1" x14ac:dyDescent="0.25">
      <c r="A9" s="3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ht="15" customHeight="1" x14ac:dyDescent="0.25">
      <c r="A10" s="3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ht="15" customHeight="1" x14ac:dyDescent="0.25">
      <c r="A11" s="3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" customHeight="1" x14ac:dyDescent="0.25">
      <c r="A12" s="3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 spans="1:14" ht="4.95" customHeight="1" x14ac:dyDescent="0.25"/>
    <row r="14" spans="1:14" ht="15" customHeight="1" x14ac:dyDescent="0.25">
      <c r="A14" s="49" t="s">
        <v>62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4.95" customHeight="1" x14ac:dyDescent="0.25"/>
    <row r="16" spans="1:14" ht="70.05" customHeight="1" x14ac:dyDescent="0.25">
      <c r="A16" s="2" t="s">
        <v>63</v>
      </c>
      <c r="B16" s="5" t="s">
        <v>64</v>
      </c>
      <c r="C16" s="5" t="s">
        <v>65</v>
      </c>
      <c r="D16" s="2" t="s">
        <v>61</v>
      </c>
      <c r="E16" s="5" t="s">
        <v>0</v>
      </c>
      <c r="F16" s="5" t="s">
        <v>66</v>
      </c>
      <c r="G16" s="5" t="s">
        <v>67</v>
      </c>
      <c r="H16" s="5" t="s">
        <v>68</v>
      </c>
      <c r="I16" s="5" t="s">
        <v>1</v>
      </c>
      <c r="J16" s="5" t="s">
        <v>32</v>
      </c>
      <c r="K16" s="2" t="s">
        <v>69</v>
      </c>
      <c r="L16" s="6" t="s">
        <v>70</v>
      </c>
      <c r="M16" s="6" t="s">
        <v>71</v>
      </c>
      <c r="N16" s="2" t="s">
        <v>72</v>
      </c>
    </row>
    <row r="17" spans="1:14" ht="33.6" customHeight="1" x14ac:dyDescent="0.25">
      <c r="A17" s="3">
        <v>1</v>
      </c>
      <c r="B17" s="11" t="s">
        <v>12</v>
      </c>
      <c r="C17" s="11"/>
      <c r="D17" s="42">
        <v>46182</v>
      </c>
      <c r="E17" s="11"/>
      <c r="F17" s="11" t="s">
        <v>12</v>
      </c>
      <c r="G17" s="11"/>
      <c r="H17" s="11"/>
      <c r="I17" s="11"/>
      <c r="J17" s="11"/>
      <c r="K17" s="10" t="s">
        <v>114</v>
      </c>
      <c r="L17" s="3">
        <v>1</v>
      </c>
      <c r="M17" s="3" t="s">
        <v>99</v>
      </c>
      <c r="N17" s="3"/>
    </row>
    <row r="18" spans="1:14" ht="33.6" customHeight="1" x14ac:dyDescent="0.25">
      <c r="A18" s="3">
        <v>2</v>
      </c>
      <c r="B18" s="11" t="s">
        <v>12</v>
      </c>
      <c r="C18" s="11"/>
      <c r="D18" s="42">
        <v>46182</v>
      </c>
      <c r="E18" s="11"/>
      <c r="F18" s="11"/>
      <c r="G18" s="11"/>
      <c r="H18" s="11" t="s">
        <v>12</v>
      </c>
      <c r="I18" s="11"/>
      <c r="J18" s="11"/>
      <c r="K18" s="10" t="s">
        <v>97</v>
      </c>
      <c r="L18" s="3">
        <v>1</v>
      </c>
      <c r="M18" s="3" t="s">
        <v>99</v>
      </c>
      <c r="N18" s="3"/>
    </row>
    <row r="19" spans="1:14" ht="33.6" customHeight="1" x14ac:dyDescent="0.25">
      <c r="A19" s="3">
        <v>3</v>
      </c>
      <c r="B19" s="11" t="s">
        <v>12</v>
      </c>
      <c r="C19" s="11"/>
      <c r="D19" s="42">
        <v>46182</v>
      </c>
      <c r="E19" s="11"/>
      <c r="F19" s="11"/>
      <c r="G19" s="11"/>
      <c r="H19" s="11" t="s">
        <v>12</v>
      </c>
      <c r="I19" s="11"/>
      <c r="J19" s="11"/>
      <c r="K19" s="10" t="s">
        <v>115</v>
      </c>
      <c r="L19" s="3">
        <v>1</v>
      </c>
      <c r="M19" s="3" t="s">
        <v>116</v>
      </c>
      <c r="N19" s="3"/>
    </row>
    <row r="20" spans="1:14" ht="33.6" customHeight="1" x14ac:dyDescent="0.25">
      <c r="A20" s="3">
        <v>4</v>
      </c>
      <c r="B20" s="11" t="s">
        <v>12</v>
      </c>
      <c r="C20" s="11"/>
      <c r="D20" s="42">
        <v>46182</v>
      </c>
      <c r="E20" s="11"/>
      <c r="F20" s="11"/>
      <c r="G20" s="11"/>
      <c r="H20" s="11" t="s">
        <v>12</v>
      </c>
      <c r="I20" s="11"/>
      <c r="J20" s="11"/>
      <c r="K20" s="43" t="s">
        <v>84</v>
      </c>
      <c r="L20" s="3">
        <v>1</v>
      </c>
      <c r="M20" s="3" t="s">
        <v>99</v>
      </c>
      <c r="N20" s="3"/>
    </row>
    <row r="21" spans="1:14" ht="33.6" customHeight="1" x14ac:dyDescent="0.25">
      <c r="A21" s="3">
        <v>5</v>
      </c>
      <c r="B21" s="11" t="s">
        <v>12</v>
      </c>
      <c r="C21" s="11"/>
      <c r="D21" s="42">
        <v>46182</v>
      </c>
      <c r="E21" s="11"/>
      <c r="F21" s="11"/>
      <c r="G21" s="11"/>
      <c r="H21" s="11"/>
      <c r="I21" s="11" t="s">
        <v>12</v>
      </c>
      <c r="J21" s="11"/>
      <c r="K21" s="10" t="s">
        <v>75</v>
      </c>
      <c r="L21" s="3">
        <v>1</v>
      </c>
      <c r="M21" s="3" t="s">
        <v>99</v>
      </c>
      <c r="N21" s="3"/>
    </row>
    <row r="22" spans="1:14" ht="33.6" customHeight="1" x14ac:dyDescent="0.25">
      <c r="A22" s="3">
        <v>6</v>
      </c>
      <c r="B22" s="11" t="s">
        <v>12</v>
      </c>
      <c r="C22" s="11"/>
      <c r="D22" s="42">
        <v>46182</v>
      </c>
      <c r="E22" s="11"/>
      <c r="F22" s="11"/>
      <c r="G22" s="11"/>
      <c r="H22" s="11"/>
      <c r="I22" s="11"/>
      <c r="J22" s="11" t="s">
        <v>12</v>
      </c>
      <c r="K22" s="10" t="s">
        <v>117</v>
      </c>
      <c r="L22" s="3">
        <v>1</v>
      </c>
      <c r="M22" s="3" t="s">
        <v>99</v>
      </c>
      <c r="N22" s="3"/>
    </row>
    <row r="23" spans="1:14" ht="33.6" customHeight="1" x14ac:dyDescent="0.25">
      <c r="A23" s="3">
        <v>7</v>
      </c>
      <c r="B23" s="11" t="s">
        <v>12</v>
      </c>
      <c r="C23" s="11"/>
      <c r="D23" s="42">
        <v>46182</v>
      </c>
      <c r="E23" s="11"/>
      <c r="F23" s="11"/>
      <c r="G23" s="11"/>
      <c r="H23" s="11"/>
      <c r="I23" s="11"/>
      <c r="J23" s="11" t="s">
        <v>12</v>
      </c>
      <c r="K23" s="10" t="str">
        <f>"Locker No. "&amp;VLOOKUP($N$3,[2]!Tabla8[#All],3,0)</f>
        <v>Locker No. 122</v>
      </c>
      <c r="L23" s="3">
        <v>1</v>
      </c>
      <c r="M23" s="3" t="s">
        <v>99</v>
      </c>
      <c r="N23" s="3"/>
    </row>
    <row r="24" spans="1:14" ht="33.6" customHeight="1" x14ac:dyDescent="0.25">
      <c r="A24" s="3"/>
      <c r="B24" s="11"/>
      <c r="C24" s="11"/>
      <c r="D24" s="11"/>
      <c r="E24" s="11"/>
      <c r="F24" s="11"/>
      <c r="G24" s="11"/>
      <c r="H24" s="11"/>
      <c r="I24" s="11"/>
      <c r="J24" s="11"/>
      <c r="K24" s="10"/>
      <c r="L24" s="3"/>
      <c r="M24" s="3"/>
      <c r="N24" s="3"/>
    </row>
    <row r="25" spans="1:14" ht="33.6" customHeight="1" x14ac:dyDescent="0.25">
      <c r="A25" s="3"/>
      <c r="B25" s="11"/>
      <c r="C25" s="11"/>
      <c r="D25" s="11"/>
      <c r="E25" s="11"/>
      <c r="F25" s="11"/>
      <c r="G25" s="11"/>
      <c r="H25" s="11"/>
      <c r="I25" s="11"/>
      <c r="J25" s="11"/>
      <c r="K25" s="10"/>
      <c r="L25" s="3"/>
      <c r="M25" s="3"/>
      <c r="N25" s="3"/>
    </row>
    <row r="26" spans="1:14" ht="33.6" customHeight="1" x14ac:dyDescent="0.25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0"/>
      <c r="L26" s="3"/>
      <c r="M26" s="3"/>
      <c r="N26" s="3"/>
    </row>
    <row r="27" spans="1:14" ht="33.6" customHeight="1" x14ac:dyDescent="0.25">
      <c r="A27" s="3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3"/>
      <c r="M27" s="3"/>
      <c r="N27" s="3"/>
    </row>
    <row r="28" spans="1:14" ht="33.6" customHeight="1" x14ac:dyDescent="0.25">
      <c r="A28" s="3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3"/>
      <c r="M28" s="3"/>
      <c r="N28" s="3"/>
    </row>
    <row r="29" spans="1:14" ht="33.6" customHeight="1" x14ac:dyDescent="0.25">
      <c r="A29" s="3"/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3"/>
      <c r="M29" s="3"/>
      <c r="N29" s="3"/>
    </row>
    <row r="30" spans="1:14" ht="33.6" customHeight="1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0"/>
      <c r="L30" s="3"/>
      <c r="M30" s="3"/>
      <c r="N30" s="3"/>
    </row>
    <row r="31" spans="1:14" ht="33.6" customHeight="1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0"/>
      <c r="L31" s="3"/>
      <c r="M31" s="3"/>
      <c r="N31" s="3"/>
    </row>
    <row r="32" spans="1:14" ht="33.6" customHeight="1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3"/>
      <c r="M32" s="3"/>
      <c r="N32" s="3"/>
    </row>
    <row r="33" spans="1:14" ht="33.6" customHeight="1" x14ac:dyDescent="0.25">
      <c r="A33" s="3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3"/>
      <c r="M33" s="3"/>
      <c r="N33" s="3"/>
    </row>
    <row r="34" spans="1:14" ht="33.6" customHeight="1" x14ac:dyDescent="0.25">
      <c r="A34" s="3"/>
      <c r="B34" s="11"/>
      <c r="C34" s="11"/>
      <c r="D34" s="11"/>
      <c r="E34" s="11"/>
      <c r="F34" s="11"/>
      <c r="G34" s="11"/>
      <c r="H34" s="11"/>
      <c r="I34" s="11"/>
      <c r="J34" s="11"/>
      <c r="K34" s="10"/>
      <c r="L34" s="3"/>
      <c r="M34" s="3"/>
      <c r="N34" s="3"/>
    </row>
    <row r="35" spans="1:14" ht="33.6" customHeight="1" x14ac:dyDescent="0.25">
      <c r="A35" s="3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3"/>
      <c r="M35" s="3"/>
      <c r="N35" s="3"/>
    </row>
    <row r="36" spans="1:14" ht="33.6" customHeight="1" x14ac:dyDescent="0.25">
      <c r="A36" s="3"/>
      <c r="B36" s="11"/>
      <c r="C36" s="11"/>
      <c r="D36" s="11"/>
      <c r="E36" s="11"/>
      <c r="F36" s="11"/>
      <c r="G36" s="11"/>
      <c r="H36" s="11"/>
      <c r="I36" s="11"/>
      <c r="J36" s="11"/>
      <c r="K36" s="10"/>
      <c r="L36" s="3"/>
      <c r="M36" s="3"/>
      <c r="N36" s="3"/>
    </row>
    <row r="37" spans="1:14" ht="33.6" customHeight="1" x14ac:dyDescent="0.25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3"/>
      <c r="M37" s="3"/>
      <c r="N37" s="3"/>
    </row>
    <row r="38" spans="1:14" ht="33.6" customHeight="1" x14ac:dyDescent="0.25">
      <c r="A38" s="3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3"/>
      <c r="M38" s="3"/>
      <c r="N38" s="3"/>
    </row>
    <row r="39" spans="1:14" ht="33.6" customHeight="1" x14ac:dyDescent="0.25">
      <c r="A39" s="3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3"/>
      <c r="M39" s="3"/>
      <c r="N39" s="3"/>
    </row>
    <row r="40" spans="1:14" ht="33.6" customHeight="1" x14ac:dyDescent="0.25">
      <c r="A40" s="3"/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3"/>
      <c r="M40" s="3"/>
      <c r="N40" s="3"/>
    </row>
    <row r="41" spans="1:14" ht="33.6" customHeight="1" x14ac:dyDescent="0.25">
      <c r="A41" s="3"/>
      <c r="B41" s="11"/>
      <c r="C41" s="11"/>
      <c r="D41" s="11"/>
      <c r="E41" s="11"/>
      <c r="F41" s="11"/>
      <c r="G41" s="11"/>
      <c r="H41" s="11"/>
      <c r="I41" s="11"/>
      <c r="J41" s="11"/>
      <c r="K41" s="10"/>
      <c r="L41" s="3"/>
      <c r="M41" s="3"/>
      <c r="N41" s="3"/>
    </row>
    <row r="42" spans="1:14" ht="33.6" customHeight="1" x14ac:dyDescent="0.25">
      <c r="A42" s="3"/>
      <c r="B42" s="11"/>
      <c r="C42" s="11"/>
      <c r="D42" s="11"/>
      <c r="E42" s="11"/>
      <c r="F42" s="11"/>
      <c r="G42" s="11"/>
      <c r="H42" s="11"/>
      <c r="I42" s="11"/>
      <c r="J42" s="11"/>
      <c r="K42" s="10"/>
      <c r="L42" s="3"/>
      <c r="M42" s="3"/>
      <c r="N42" s="3"/>
    </row>
    <row r="43" spans="1:14" ht="33.6" customHeight="1" x14ac:dyDescent="0.25">
      <c r="A43" s="3"/>
      <c r="B43" s="11"/>
      <c r="C43" s="11"/>
      <c r="D43" s="11"/>
      <c r="E43" s="11"/>
      <c r="F43" s="11"/>
      <c r="G43" s="11"/>
      <c r="H43" s="11"/>
      <c r="I43" s="11"/>
      <c r="J43" s="11"/>
      <c r="K43" s="10"/>
      <c r="L43" s="3"/>
      <c r="M43" s="3"/>
      <c r="N43" s="3"/>
    </row>
    <row r="44" spans="1:14" ht="33.6" customHeight="1" x14ac:dyDescent="0.25">
      <c r="A44" s="3"/>
      <c r="B44" s="11"/>
      <c r="C44" s="11"/>
      <c r="D44" s="11"/>
      <c r="E44" s="11"/>
      <c r="F44" s="11"/>
      <c r="G44" s="11"/>
      <c r="H44" s="11"/>
      <c r="I44" s="11"/>
      <c r="J44" s="11"/>
      <c r="K44" s="10"/>
      <c r="L44" s="3"/>
      <c r="M44" s="3"/>
      <c r="N44" s="3"/>
    </row>
    <row r="45" spans="1:14" ht="33.6" customHeight="1" x14ac:dyDescent="0.25">
      <c r="A45" s="3"/>
      <c r="B45" s="11"/>
      <c r="C45" s="11"/>
      <c r="D45" s="11"/>
      <c r="E45" s="11"/>
      <c r="F45" s="11"/>
      <c r="G45" s="11"/>
      <c r="H45" s="11"/>
      <c r="I45" s="11"/>
      <c r="J45" s="11"/>
      <c r="K45" s="10"/>
      <c r="L45" s="3"/>
      <c r="M45" s="3"/>
      <c r="N45" s="3"/>
    </row>
    <row r="46" spans="1:14" ht="33.6" customHeight="1" x14ac:dyDescent="0.25">
      <c r="A46" s="3"/>
      <c r="B46" s="11"/>
      <c r="C46" s="11"/>
      <c r="D46" s="11"/>
      <c r="E46" s="11"/>
      <c r="F46" s="11"/>
      <c r="G46" s="11"/>
      <c r="H46" s="11"/>
      <c r="I46" s="11"/>
      <c r="J46" s="11"/>
      <c r="K46" s="10"/>
      <c r="L46" s="3"/>
      <c r="M46" s="3"/>
      <c r="N46" s="3"/>
    </row>
    <row r="47" spans="1:14" ht="33.6" customHeight="1" x14ac:dyDescent="0.25">
      <c r="A47" s="3"/>
      <c r="B47" s="11"/>
      <c r="C47" s="11"/>
      <c r="D47" s="11"/>
      <c r="E47" s="11"/>
      <c r="F47" s="11"/>
      <c r="G47" s="11"/>
      <c r="H47" s="11"/>
      <c r="I47" s="11"/>
      <c r="J47" s="11"/>
      <c r="K47" s="10"/>
      <c r="L47" s="3"/>
      <c r="M47" s="3"/>
      <c r="N47" s="3"/>
    </row>
    <row r="48" spans="1:14" ht="33.6" customHeight="1" x14ac:dyDescent="0.25">
      <c r="A48" s="3"/>
      <c r="B48" s="11"/>
      <c r="C48" s="11"/>
      <c r="D48" s="11"/>
      <c r="E48" s="11"/>
      <c r="F48" s="11"/>
      <c r="G48" s="11"/>
      <c r="H48" s="11"/>
      <c r="I48" s="11"/>
      <c r="J48" s="11"/>
      <c r="K48" s="10"/>
      <c r="L48" s="3"/>
      <c r="M48" s="3"/>
      <c r="N48" s="3"/>
    </row>
    <row r="49" spans="1:14" ht="4.95" customHeight="1" x14ac:dyDescent="0.25"/>
    <row r="50" spans="1:14" ht="15" customHeight="1" x14ac:dyDescent="0.25">
      <c r="A50" s="7" t="s">
        <v>73</v>
      </c>
      <c r="B50" s="7"/>
      <c r="C50" s="7"/>
      <c r="D50" s="7"/>
      <c r="E50" s="50"/>
      <c r="F50" s="50"/>
      <c r="G50" s="50"/>
      <c r="H50" s="50"/>
      <c r="I50" s="50"/>
      <c r="J50" s="50"/>
      <c r="K50" s="50"/>
      <c r="L50" s="50"/>
      <c r="M50" s="50"/>
      <c r="N50" s="50"/>
    </row>
    <row r="51" spans="1:14" ht="15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1:14" ht="15" customHeight="1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1:14" ht="15" customHeight="1" x14ac:dyDescent="0.25"/>
    <row r="54" spans="1:14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4" ht="15" customHeight="1" x14ac:dyDescent="0.25"/>
    <row r="56" spans="1:14" ht="15" customHeight="1" x14ac:dyDescent="0.25"/>
    <row r="57" spans="1:14" ht="15" customHeight="1" x14ac:dyDescent="0.25"/>
    <row r="58" spans="1:14" ht="15" customHeight="1" x14ac:dyDescent="0.25"/>
    <row r="59" spans="1:14" ht="15" customHeight="1" x14ac:dyDescent="0.25"/>
    <row r="60" spans="1:14" ht="15" customHeight="1" x14ac:dyDescent="0.25"/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</sheetData>
  <mergeCells count="27">
    <mergeCell ref="A7:F7"/>
    <mergeCell ref="G7:L7"/>
    <mergeCell ref="M7:N7"/>
    <mergeCell ref="A1:N1"/>
    <mergeCell ref="A3:D3"/>
    <mergeCell ref="E3:K3"/>
    <mergeCell ref="L3:M3"/>
    <mergeCell ref="A5:N5"/>
    <mergeCell ref="B8:F8"/>
    <mergeCell ref="G8:L8"/>
    <mergeCell ref="M8:N8"/>
    <mergeCell ref="B9:F9"/>
    <mergeCell ref="G9:L9"/>
    <mergeCell ref="M9:N9"/>
    <mergeCell ref="B10:F10"/>
    <mergeCell ref="G10:L10"/>
    <mergeCell ref="M10:N10"/>
    <mergeCell ref="B11:F11"/>
    <mergeCell ref="G11:L11"/>
    <mergeCell ref="M11:N11"/>
    <mergeCell ref="A52:N52"/>
    <mergeCell ref="B12:F12"/>
    <mergeCell ref="G12:L12"/>
    <mergeCell ref="M12:N12"/>
    <mergeCell ref="A14:N14"/>
    <mergeCell ref="E50:N50"/>
    <mergeCell ref="A51:N51"/>
  </mergeCells>
  <hyperlinks>
    <hyperlink ref="N3" location="Activo26!A1" display="Activo26!A1" xr:uid="{F9C65EBC-D4CD-424A-9EF6-05D0CCD17254}"/>
  </hyperlinks>
  <printOptions horizontalCentered="1"/>
  <pageMargins left="0.19685039370078741" right="0.19685039370078741" top="0.19685039370078741" bottom="0.78740157480314965" header="0" footer="0.39370078740157483"/>
  <pageSetup scale="84" orientation="portrait" r:id="rId1"/>
  <headerFooter>
    <oddFooter>&amp;L&amp;9ALA-RH-FR-29 Entrega-recepción de equipos,
herramientas, uniformes, EPP y papelería&amp;C&amp;9Página &amp;P de &amp;N&amp;R&amp;9Revisión: 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88</vt:i4>
      </vt:variant>
      <vt:variant>
        <vt:lpstr>Rangos con nombre</vt:lpstr>
      </vt:variant>
      <vt:variant>
        <vt:i4>174</vt:i4>
      </vt:variant>
    </vt:vector>
  </HeadingPairs>
  <TitlesOfParts>
    <vt:vector size="262" baseType="lpstr">
      <vt:lpstr>Etiquetas</vt:lpstr>
      <vt:lpstr>10</vt:lpstr>
      <vt:lpstr>11</vt:lpstr>
      <vt:lpstr>14</vt:lpstr>
      <vt:lpstr>18</vt:lpstr>
      <vt:lpstr>20</vt:lpstr>
      <vt:lpstr>21</vt:lpstr>
      <vt:lpstr>23</vt:lpstr>
      <vt:lpstr>27</vt:lpstr>
      <vt:lpstr>28</vt:lpstr>
      <vt:lpstr>54</vt:lpstr>
      <vt:lpstr>76</vt:lpstr>
      <vt:lpstr>91</vt:lpstr>
      <vt:lpstr>93</vt:lpstr>
      <vt:lpstr>149</vt:lpstr>
      <vt:lpstr>152</vt:lpstr>
      <vt:lpstr>165</vt:lpstr>
      <vt:lpstr>173</vt:lpstr>
      <vt:lpstr>176</vt:lpstr>
      <vt:lpstr>199</vt:lpstr>
      <vt:lpstr>233</vt:lpstr>
      <vt:lpstr>251</vt:lpstr>
      <vt:lpstr>263</vt:lpstr>
      <vt:lpstr>266</vt:lpstr>
      <vt:lpstr>278</vt:lpstr>
      <vt:lpstr>281</vt:lpstr>
      <vt:lpstr>293</vt:lpstr>
      <vt:lpstr>295</vt:lpstr>
      <vt:lpstr>299</vt:lpstr>
      <vt:lpstr>310</vt:lpstr>
      <vt:lpstr>351</vt:lpstr>
      <vt:lpstr>362</vt:lpstr>
      <vt:lpstr>368</vt:lpstr>
      <vt:lpstr>371</vt:lpstr>
      <vt:lpstr>373</vt:lpstr>
      <vt:lpstr>376</vt:lpstr>
      <vt:lpstr>385</vt:lpstr>
      <vt:lpstr>397</vt:lpstr>
      <vt:lpstr>428</vt:lpstr>
      <vt:lpstr>435</vt:lpstr>
      <vt:lpstr>471</vt:lpstr>
      <vt:lpstr>506</vt:lpstr>
      <vt:lpstr>509</vt:lpstr>
      <vt:lpstr>515</vt:lpstr>
      <vt:lpstr>534</vt:lpstr>
      <vt:lpstr>537</vt:lpstr>
      <vt:lpstr>552</vt:lpstr>
      <vt:lpstr>607</vt:lpstr>
      <vt:lpstr>626</vt:lpstr>
      <vt:lpstr>647</vt:lpstr>
      <vt:lpstr>650</vt:lpstr>
      <vt:lpstr>657</vt:lpstr>
      <vt:lpstr>660</vt:lpstr>
      <vt:lpstr>735</vt:lpstr>
      <vt:lpstr>752</vt:lpstr>
      <vt:lpstr>767</vt:lpstr>
      <vt:lpstr>788</vt:lpstr>
      <vt:lpstr>790</vt:lpstr>
      <vt:lpstr>810</vt:lpstr>
      <vt:lpstr>833</vt:lpstr>
      <vt:lpstr>846</vt:lpstr>
      <vt:lpstr>890</vt:lpstr>
      <vt:lpstr>927</vt:lpstr>
      <vt:lpstr>934</vt:lpstr>
      <vt:lpstr>951</vt:lpstr>
      <vt:lpstr>983</vt:lpstr>
      <vt:lpstr>1010</vt:lpstr>
      <vt:lpstr>1033</vt:lpstr>
      <vt:lpstr>1036</vt:lpstr>
      <vt:lpstr>1047</vt:lpstr>
      <vt:lpstr>1061</vt:lpstr>
      <vt:lpstr>1064</vt:lpstr>
      <vt:lpstr>1081</vt:lpstr>
      <vt:lpstr>1094</vt:lpstr>
      <vt:lpstr>1095</vt:lpstr>
      <vt:lpstr>1104</vt:lpstr>
      <vt:lpstr>1138</vt:lpstr>
      <vt:lpstr>1143</vt:lpstr>
      <vt:lpstr>1144</vt:lpstr>
      <vt:lpstr>1153</vt:lpstr>
      <vt:lpstr>1155</vt:lpstr>
      <vt:lpstr>1165</vt:lpstr>
      <vt:lpstr>1166</vt:lpstr>
      <vt:lpstr>1167</vt:lpstr>
      <vt:lpstr>1168</vt:lpstr>
      <vt:lpstr>1171</vt:lpstr>
      <vt:lpstr>1175</vt:lpstr>
      <vt:lpstr>1176</vt:lpstr>
      <vt:lpstr>'10'!Área_de_impresión</vt:lpstr>
      <vt:lpstr>'1010'!Área_de_impresión</vt:lpstr>
      <vt:lpstr>'1033'!Área_de_impresión</vt:lpstr>
      <vt:lpstr>'1036'!Área_de_impresión</vt:lpstr>
      <vt:lpstr>'1047'!Área_de_impresión</vt:lpstr>
      <vt:lpstr>'1061'!Área_de_impresión</vt:lpstr>
      <vt:lpstr>'1064'!Área_de_impresión</vt:lpstr>
      <vt:lpstr>'1081'!Área_de_impresión</vt:lpstr>
      <vt:lpstr>'1094'!Área_de_impresión</vt:lpstr>
      <vt:lpstr>'1095'!Área_de_impresión</vt:lpstr>
      <vt:lpstr>'11'!Área_de_impresión</vt:lpstr>
      <vt:lpstr>'1104'!Área_de_impresión</vt:lpstr>
      <vt:lpstr>'1138'!Área_de_impresión</vt:lpstr>
      <vt:lpstr>'1143'!Área_de_impresión</vt:lpstr>
      <vt:lpstr>'1144'!Área_de_impresión</vt:lpstr>
      <vt:lpstr>'1153'!Área_de_impresión</vt:lpstr>
      <vt:lpstr>'1155'!Área_de_impresión</vt:lpstr>
      <vt:lpstr>'1165'!Área_de_impresión</vt:lpstr>
      <vt:lpstr>'1166'!Área_de_impresión</vt:lpstr>
      <vt:lpstr>'1167'!Área_de_impresión</vt:lpstr>
      <vt:lpstr>'1168'!Área_de_impresión</vt:lpstr>
      <vt:lpstr>'1171'!Área_de_impresión</vt:lpstr>
      <vt:lpstr>'1175'!Área_de_impresión</vt:lpstr>
      <vt:lpstr>'1176'!Área_de_impresión</vt:lpstr>
      <vt:lpstr>'14'!Área_de_impresión</vt:lpstr>
      <vt:lpstr>'149'!Área_de_impresión</vt:lpstr>
      <vt:lpstr>'152'!Área_de_impresión</vt:lpstr>
      <vt:lpstr>'165'!Área_de_impresión</vt:lpstr>
      <vt:lpstr>'173'!Área_de_impresión</vt:lpstr>
      <vt:lpstr>'176'!Área_de_impresión</vt:lpstr>
      <vt:lpstr>'18'!Área_de_impresión</vt:lpstr>
      <vt:lpstr>'199'!Área_de_impresión</vt:lpstr>
      <vt:lpstr>'20'!Área_de_impresión</vt:lpstr>
      <vt:lpstr>'21'!Área_de_impresión</vt:lpstr>
      <vt:lpstr>'23'!Área_de_impresión</vt:lpstr>
      <vt:lpstr>'233'!Área_de_impresión</vt:lpstr>
      <vt:lpstr>'251'!Área_de_impresión</vt:lpstr>
      <vt:lpstr>'263'!Área_de_impresión</vt:lpstr>
      <vt:lpstr>'266'!Área_de_impresión</vt:lpstr>
      <vt:lpstr>'27'!Área_de_impresión</vt:lpstr>
      <vt:lpstr>'278'!Área_de_impresión</vt:lpstr>
      <vt:lpstr>'28'!Área_de_impresión</vt:lpstr>
      <vt:lpstr>'281'!Área_de_impresión</vt:lpstr>
      <vt:lpstr>'293'!Área_de_impresión</vt:lpstr>
      <vt:lpstr>'295'!Área_de_impresión</vt:lpstr>
      <vt:lpstr>'299'!Área_de_impresión</vt:lpstr>
      <vt:lpstr>'310'!Área_de_impresión</vt:lpstr>
      <vt:lpstr>'351'!Área_de_impresión</vt:lpstr>
      <vt:lpstr>'362'!Área_de_impresión</vt:lpstr>
      <vt:lpstr>'368'!Área_de_impresión</vt:lpstr>
      <vt:lpstr>'371'!Área_de_impresión</vt:lpstr>
      <vt:lpstr>'373'!Área_de_impresión</vt:lpstr>
      <vt:lpstr>'376'!Área_de_impresión</vt:lpstr>
      <vt:lpstr>'385'!Área_de_impresión</vt:lpstr>
      <vt:lpstr>'397'!Área_de_impresión</vt:lpstr>
      <vt:lpstr>'428'!Área_de_impresión</vt:lpstr>
      <vt:lpstr>'435'!Área_de_impresión</vt:lpstr>
      <vt:lpstr>'471'!Área_de_impresión</vt:lpstr>
      <vt:lpstr>'506'!Área_de_impresión</vt:lpstr>
      <vt:lpstr>'509'!Área_de_impresión</vt:lpstr>
      <vt:lpstr>'515'!Área_de_impresión</vt:lpstr>
      <vt:lpstr>'534'!Área_de_impresión</vt:lpstr>
      <vt:lpstr>'537'!Área_de_impresión</vt:lpstr>
      <vt:lpstr>'54'!Área_de_impresión</vt:lpstr>
      <vt:lpstr>'552'!Área_de_impresión</vt:lpstr>
      <vt:lpstr>'607'!Área_de_impresión</vt:lpstr>
      <vt:lpstr>'626'!Área_de_impresión</vt:lpstr>
      <vt:lpstr>'647'!Área_de_impresión</vt:lpstr>
      <vt:lpstr>'650'!Área_de_impresión</vt:lpstr>
      <vt:lpstr>'657'!Área_de_impresión</vt:lpstr>
      <vt:lpstr>'660'!Área_de_impresión</vt:lpstr>
      <vt:lpstr>'735'!Área_de_impresión</vt:lpstr>
      <vt:lpstr>'752'!Área_de_impresión</vt:lpstr>
      <vt:lpstr>'76'!Área_de_impresión</vt:lpstr>
      <vt:lpstr>'767'!Área_de_impresión</vt:lpstr>
      <vt:lpstr>'788'!Área_de_impresión</vt:lpstr>
      <vt:lpstr>'790'!Área_de_impresión</vt:lpstr>
      <vt:lpstr>'810'!Área_de_impresión</vt:lpstr>
      <vt:lpstr>'833'!Área_de_impresión</vt:lpstr>
      <vt:lpstr>'846'!Área_de_impresión</vt:lpstr>
      <vt:lpstr>'890'!Área_de_impresión</vt:lpstr>
      <vt:lpstr>'91'!Área_de_impresión</vt:lpstr>
      <vt:lpstr>'927'!Área_de_impresión</vt:lpstr>
      <vt:lpstr>'93'!Área_de_impresión</vt:lpstr>
      <vt:lpstr>'934'!Área_de_impresión</vt:lpstr>
      <vt:lpstr>'951'!Área_de_impresión</vt:lpstr>
      <vt:lpstr>'983'!Área_de_impresión</vt:lpstr>
      <vt:lpstr>'10'!Títulos_a_imprimir</vt:lpstr>
      <vt:lpstr>'1010'!Títulos_a_imprimir</vt:lpstr>
      <vt:lpstr>'1033'!Títulos_a_imprimir</vt:lpstr>
      <vt:lpstr>'1036'!Títulos_a_imprimir</vt:lpstr>
      <vt:lpstr>'1047'!Títulos_a_imprimir</vt:lpstr>
      <vt:lpstr>'1061'!Títulos_a_imprimir</vt:lpstr>
      <vt:lpstr>'1064'!Títulos_a_imprimir</vt:lpstr>
      <vt:lpstr>'1081'!Títulos_a_imprimir</vt:lpstr>
      <vt:lpstr>'1094'!Títulos_a_imprimir</vt:lpstr>
      <vt:lpstr>'1095'!Títulos_a_imprimir</vt:lpstr>
      <vt:lpstr>'11'!Títulos_a_imprimir</vt:lpstr>
      <vt:lpstr>'1104'!Títulos_a_imprimir</vt:lpstr>
      <vt:lpstr>'1138'!Títulos_a_imprimir</vt:lpstr>
      <vt:lpstr>'1143'!Títulos_a_imprimir</vt:lpstr>
      <vt:lpstr>'1144'!Títulos_a_imprimir</vt:lpstr>
      <vt:lpstr>'1153'!Títulos_a_imprimir</vt:lpstr>
      <vt:lpstr>'1155'!Títulos_a_imprimir</vt:lpstr>
      <vt:lpstr>'1165'!Títulos_a_imprimir</vt:lpstr>
      <vt:lpstr>'1166'!Títulos_a_imprimir</vt:lpstr>
      <vt:lpstr>'1167'!Títulos_a_imprimir</vt:lpstr>
      <vt:lpstr>'1168'!Títulos_a_imprimir</vt:lpstr>
      <vt:lpstr>'1171'!Títulos_a_imprimir</vt:lpstr>
      <vt:lpstr>'1175'!Títulos_a_imprimir</vt:lpstr>
      <vt:lpstr>'1176'!Títulos_a_imprimir</vt:lpstr>
      <vt:lpstr>'14'!Títulos_a_imprimir</vt:lpstr>
      <vt:lpstr>'149'!Títulos_a_imprimir</vt:lpstr>
      <vt:lpstr>'152'!Títulos_a_imprimir</vt:lpstr>
      <vt:lpstr>'165'!Títulos_a_imprimir</vt:lpstr>
      <vt:lpstr>'173'!Títulos_a_imprimir</vt:lpstr>
      <vt:lpstr>'176'!Títulos_a_imprimir</vt:lpstr>
      <vt:lpstr>'18'!Títulos_a_imprimir</vt:lpstr>
      <vt:lpstr>'199'!Títulos_a_imprimir</vt:lpstr>
      <vt:lpstr>'20'!Títulos_a_imprimir</vt:lpstr>
      <vt:lpstr>'21'!Títulos_a_imprimir</vt:lpstr>
      <vt:lpstr>'23'!Títulos_a_imprimir</vt:lpstr>
      <vt:lpstr>'233'!Títulos_a_imprimir</vt:lpstr>
      <vt:lpstr>'251'!Títulos_a_imprimir</vt:lpstr>
      <vt:lpstr>'263'!Títulos_a_imprimir</vt:lpstr>
      <vt:lpstr>'266'!Títulos_a_imprimir</vt:lpstr>
      <vt:lpstr>'27'!Títulos_a_imprimir</vt:lpstr>
      <vt:lpstr>'278'!Títulos_a_imprimir</vt:lpstr>
      <vt:lpstr>'28'!Títulos_a_imprimir</vt:lpstr>
      <vt:lpstr>'281'!Títulos_a_imprimir</vt:lpstr>
      <vt:lpstr>'293'!Títulos_a_imprimir</vt:lpstr>
      <vt:lpstr>'295'!Títulos_a_imprimir</vt:lpstr>
      <vt:lpstr>'299'!Títulos_a_imprimir</vt:lpstr>
      <vt:lpstr>'310'!Títulos_a_imprimir</vt:lpstr>
      <vt:lpstr>'351'!Títulos_a_imprimir</vt:lpstr>
      <vt:lpstr>'362'!Títulos_a_imprimir</vt:lpstr>
      <vt:lpstr>'368'!Títulos_a_imprimir</vt:lpstr>
      <vt:lpstr>'371'!Títulos_a_imprimir</vt:lpstr>
      <vt:lpstr>'373'!Títulos_a_imprimir</vt:lpstr>
      <vt:lpstr>'376'!Títulos_a_imprimir</vt:lpstr>
      <vt:lpstr>'385'!Títulos_a_imprimir</vt:lpstr>
      <vt:lpstr>'397'!Títulos_a_imprimir</vt:lpstr>
      <vt:lpstr>'428'!Títulos_a_imprimir</vt:lpstr>
      <vt:lpstr>'435'!Títulos_a_imprimir</vt:lpstr>
      <vt:lpstr>'471'!Títulos_a_imprimir</vt:lpstr>
      <vt:lpstr>'506'!Títulos_a_imprimir</vt:lpstr>
      <vt:lpstr>'509'!Títulos_a_imprimir</vt:lpstr>
      <vt:lpstr>'515'!Títulos_a_imprimir</vt:lpstr>
      <vt:lpstr>'534'!Títulos_a_imprimir</vt:lpstr>
      <vt:lpstr>'537'!Títulos_a_imprimir</vt:lpstr>
      <vt:lpstr>'54'!Títulos_a_imprimir</vt:lpstr>
      <vt:lpstr>'552'!Títulos_a_imprimir</vt:lpstr>
      <vt:lpstr>'607'!Títulos_a_imprimir</vt:lpstr>
      <vt:lpstr>'626'!Títulos_a_imprimir</vt:lpstr>
      <vt:lpstr>'647'!Títulos_a_imprimir</vt:lpstr>
      <vt:lpstr>'650'!Títulos_a_imprimir</vt:lpstr>
      <vt:lpstr>'657'!Títulos_a_imprimir</vt:lpstr>
      <vt:lpstr>'660'!Títulos_a_imprimir</vt:lpstr>
      <vt:lpstr>'735'!Títulos_a_imprimir</vt:lpstr>
      <vt:lpstr>'752'!Títulos_a_imprimir</vt:lpstr>
      <vt:lpstr>'76'!Títulos_a_imprimir</vt:lpstr>
      <vt:lpstr>'767'!Títulos_a_imprimir</vt:lpstr>
      <vt:lpstr>'788'!Títulos_a_imprimir</vt:lpstr>
      <vt:lpstr>'790'!Títulos_a_imprimir</vt:lpstr>
      <vt:lpstr>'810'!Títulos_a_imprimir</vt:lpstr>
      <vt:lpstr>'833'!Títulos_a_imprimir</vt:lpstr>
      <vt:lpstr>'846'!Títulos_a_imprimir</vt:lpstr>
      <vt:lpstr>'890'!Títulos_a_imprimir</vt:lpstr>
      <vt:lpstr>'91'!Títulos_a_imprimir</vt:lpstr>
      <vt:lpstr>'927'!Títulos_a_imprimir</vt:lpstr>
      <vt:lpstr>'93'!Títulos_a_imprimir</vt:lpstr>
      <vt:lpstr>'934'!Títulos_a_imprimir</vt:lpstr>
      <vt:lpstr>'951'!Títulos_a_imprimir</vt:lpstr>
      <vt:lpstr>'983'!Títulos_a_imprimir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Sarahí Mimila</dc:creator>
  <cp:lastModifiedBy>Sarahí Mimila</cp:lastModifiedBy>
  <cp:lastPrinted>2026-06-09T14:52:59Z</cp:lastPrinted>
  <dcterms:created xsi:type="dcterms:W3CDTF">2026-03-23T21:41:44Z</dcterms:created>
  <dcterms:modified xsi:type="dcterms:W3CDTF">2026-06-19T23:14:21Z</dcterms:modified>
</cp:coreProperties>
</file>